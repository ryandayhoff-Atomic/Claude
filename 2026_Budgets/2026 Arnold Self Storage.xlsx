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- Arnold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tc={a74e6c23-550e-4b41-810a-4b9d57996731}</author>
  </authors>
  <commentList>
    <comment authorId="0" xr:uid="{a74e6c23-550e-4b41-810a-4b9d57996731}" ref="B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@magen@atomicstoragegroup.com Currently running a $600 PPC budget
Assigned to magen@atomicstoragegroup.com
</t>
      </text>
    </comment>
  </commentList>
</comments>
</file>

<file path=xl/sharedStrings.xml><?xml version="1.0" encoding="utf-8"?>
<sst xmlns="http://schemas.openxmlformats.org/spreadsheetml/2006/main" count="118" uniqueCount="114">
  <si>
    <t xml:space="preserve">Arnold Self Storage </t>
  </si>
  <si>
    <t>Budget</t>
  </si>
  <si>
    <t>January - December  2026</t>
  </si>
  <si>
    <t xml:space="preserve">Rented </t>
  </si>
  <si>
    <t xml:space="preserve">Vacated </t>
  </si>
  <si>
    <t xml:space="preserve">Net occupied </t>
  </si>
  <si>
    <t xml:space="preserve">% occupied </t>
  </si>
  <si>
    <t>T12 Actual</t>
  </si>
  <si>
    <t>Total</t>
  </si>
  <si>
    <t>10/1/2024 - 9/30/2025</t>
  </si>
  <si>
    <t xml:space="preserve">Revenue Projection </t>
  </si>
  <si>
    <t xml:space="preserve">   Rent Income</t>
  </si>
  <si>
    <t xml:space="preserve">   Parking Income</t>
  </si>
  <si>
    <t xml:space="preserve">   Other Rent Income</t>
  </si>
  <si>
    <t xml:space="preserve">Total Rental Income </t>
  </si>
  <si>
    <t xml:space="preserve">Fee Income </t>
  </si>
  <si>
    <t xml:space="preserve">      Admin Fees</t>
  </si>
  <si>
    <t xml:space="preserve">      Late Fee Income</t>
  </si>
  <si>
    <t xml:space="preserve">      Convenience Fee</t>
  </si>
  <si>
    <t xml:space="preserve">      General Fee Income </t>
  </si>
  <si>
    <t xml:space="preserve">      Other Fee</t>
  </si>
  <si>
    <t xml:space="preserve">Total Fee Income </t>
  </si>
  <si>
    <t xml:space="preserve">Ancillary Income </t>
  </si>
  <si>
    <t xml:space="preserve">   Merchandise Income</t>
  </si>
  <si>
    <t xml:space="preserve">   Tenant Protection</t>
  </si>
  <si>
    <t xml:space="preserve">   Truck Rentals</t>
  </si>
  <si>
    <t xml:space="preserve">   Propane Sales</t>
  </si>
  <si>
    <t xml:space="preserve">   Other Income Sources</t>
  </si>
  <si>
    <t>Total Ancillary Income</t>
  </si>
  <si>
    <t xml:space="preserve">Total Revenue </t>
  </si>
  <si>
    <t xml:space="preserve">Expense Projection </t>
  </si>
  <si>
    <t>Advertising/Marketing</t>
  </si>
  <si>
    <t>PPC (payperclick)</t>
  </si>
  <si>
    <t>Print Materials</t>
  </si>
  <si>
    <t>Reputation &amp; Social</t>
  </si>
  <si>
    <t>Website</t>
  </si>
  <si>
    <t>Sparefoot</t>
  </si>
  <si>
    <t xml:space="preserve">   Legal &amp; Professional Fees</t>
  </si>
  <si>
    <t>Auction Expenses</t>
  </si>
  <si>
    <t>Management Services</t>
  </si>
  <si>
    <t>Call Center</t>
  </si>
  <si>
    <t>Legal Fees</t>
  </si>
  <si>
    <t>Accounting Fees</t>
  </si>
  <si>
    <t xml:space="preserve">   Total Legal &amp; Professional Fees</t>
  </si>
  <si>
    <t xml:space="preserve">   Office/Site</t>
  </si>
  <si>
    <t>Cost of Merchandise Sold</t>
  </si>
  <si>
    <t>Site Supplies</t>
  </si>
  <si>
    <t>Office Supplies</t>
  </si>
  <si>
    <t>Business Licenses</t>
  </si>
  <si>
    <t xml:space="preserve">   Total Office/Site</t>
  </si>
  <si>
    <t xml:space="preserve">   Repairs and Maintenance</t>
  </si>
  <si>
    <t>Lawn/Snow</t>
  </si>
  <si>
    <t>Elevator</t>
  </si>
  <si>
    <t>Gate &amp; Fence</t>
  </si>
  <si>
    <t xml:space="preserve">Unit Doors </t>
  </si>
  <si>
    <t>Security System</t>
  </si>
  <si>
    <t>HVAC</t>
  </si>
  <si>
    <t xml:space="preserve">Pest Control </t>
  </si>
  <si>
    <t xml:space="preserve">Site </t>
  </si>
  <si>
    <t>Trash Hauling</t>
  </si>
  <si>
    <t xml:space="preserve">   Total Repairs and Maintenance</t>
  </si>
  <si>
    <t xml:space="preserve">   Service Charges</t>
  </si>
  <si>
    <t>Bank Service Charges</t>
  </si>
  <si>
    <t>Credit Card Service Fees</t>
  </si>
  <si>
    <t xml:space="preserve">   Total Service Charges</t>
  </si>
  <si>
    <t xml:space="preserve">   Software </t>
  </si>
  <si>
    <t>Gate Software</t>
  </si>
  <si>
    <t xml:space="preserve">Collection Software </t>
  </si>
  <si>
    <t>Accounting/BillPay Software</t>
  </si>
  <si>
    <t>Other Software (Swivel)</t>
  </si>
  <si>
    <t>Storage Software</t>
  </si>
  <si>
    <t xml:space="preserve">   Total Software</t>
  </si>
  <si>
    <t xml:space="preserve">   Staffing</t>
  </si>
  <si>
    <t>Mileage</t>
  </si>
  <si>
    <t>Payroll Processing</t>
  </si>
  <si>
    <t>Payroll Taxes</t>
  </si>
  <si>
    <t>Staff Costs</t>
  </si>
  <si>
    <t xml:space="preserve">Health Insurance </t>
  </si>
  <si>
    <t>Salary/Wages</t>
  </si>
  <si>
    <t>Workers Comp</t>
  </si>
  <si>
    <t xml:space="preserve">   Total Staffing</t>
  </si>
  <si>
    <t xml:space="preserve">Taxes &amp; Insurance </t>
  </si>
  <si>
    <t>Insurance - Prop &amp; GL</t>
  </si>
  <si>
    <t>Taxes-Property</t>
  </si>
  <si>
    <t xml:space="preserve">   Total Taxes &amp; Insurance </t>
  </si>
  <si>
    <t xml:space="preserve">   Utilities</t>
  </si>
  <si>
    <t>Telephone</t>
  </si>
  <si>
    <t>Internet</t>
  </si>
  <si>
    <t>Electricity</t>
  </si>
  <si>
    <t>Water &amp; Sewer</t>
  </si>
  <si>
    <t>Gas</t>
  </si>
  <si>
    <t>Stormwater</t>
  </si>
  <si>
    <t>Trash/Disposal</t>
  </si>
  <si>
    <t xml:space="preserve">   Total Utilities</t>
  </si>
  <si>
    <t>Total Expenses</t>
  </si>
  <si>
    <t>Net Operating Income</t>
  </si>
  <si>
    <t xml:space="preserve">   Other Income/Expenses</t>
  </si>
  <si>
    <t>Bonus</t>
  </si>
  <si>
    <t>Travel Meals/Hotels</t>
  </si>
  <si>
    <t xml:space="preserve">Interest on Owner Loan </t>
  </si>
  <si>
    <t xml:space="preserve">Amortization </t>
  </si>
  <si>
    <t>Depreciation</t>
  </si>
  <si>
    <t xml:space="preserve">   Total Other Income/Expenses </t>
  </si>
  <si>
    <t xml:space="preserve">   Mortgage Payments - BFN</t>
  </si>
  <si>
    <t>Bank Loan 5/9 3508</t>
  </si>
  <si>
    <t>Bank Loan Interest 5/9 3508</t>
  </si>
  <si>
    <t xml:space="preserve">   Total Mortgage Payments - 5/9 3508</t>
  </si>
  <si>
    <t xml:space="preserve">   Mortgage Payments - SBA</t>
  </si>
  <si>
    <t>SBA 9105</t>
  </si>
  <si>
    <t>SBA Loan Fees</t>
  </si>
  <si>
    <t>SBA Loan Interest 9105</t>
  </si>
  <si>
    <t xml:space="preserve">   Total Mortgage Payments - SBA</t>
  </si>
  <si>
    <t>Total Other Income/Expenses</t>
  </si>
  <si>
    <t>Net 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</si>
</sst>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_);_(&quot;$&quot;* \(#,##0\);_(&quot;$&quot;* &quot;-&quot;??_);_(@_)"/>
    <numFmt numFmtId="165" formatCode="mmm yyyy"/>
    <numFmt numFmtId="166" formatCode="mmmm yyyy"/>
    <numFmt numFmtId="167" formatCode="#,##0\ _€"/>
    <numFmt numFmtId="168" formatCode="#,##0.00\ _€"/>
    <numFmt numFmtId="169" formatCode="&quot;$&quot;* #,##0.00\ _€"/>
    <numFmt numFmtId="170" formatCode="_(&quot;$&quot;* #,##0.00_);_(&quot;$&quot;* \(#,##0.00\);_(&quot;$&quot;* &quot;-&quot;??_);_(@_)"/>
    <numFmt numFmtId="171" formatCode="#,##0.00_);[Red](#,##0.00)"/>
    <numFmt numFmtId="172" formatCode="#,##0.00_);(#,##0.00)"/>
    <numFmt numFmtId="173" formatCode="&quot;$&quot;* #,##0.00\ _€;[Red]&quot;$&quot;* -#,##0.00\ _€"/>
  </numFmts>
  <fonts count="12">
    <font>
      <sz val="11.0"/>
      <color rgb="FF000000"/>
      <name val="Calibri"/>
      <scheme val="minor"/>
    </font>
    <font>
      <sz val="11.0"/>
      <color theme="1"/>
      <name val="Calibri"/>
    </font>
    <font>
      <b/>
      <sz val="14.0"/>
      <color theme="1"/>
      <name val="Arial"/>
    </font>
    <font>
      <b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b/>
      <i/>
      <sz val="9.0"/>
      <color theme="1"/>
      <name val="Arial"/>
    </font>
    <font>
      <b/>
      <sz val="9.0"/>
      <color rgb="FF0067B1"/>
      <name val="Arial"/>
    </font>
    <font>
      <b/>
      <sz val="8.0"/>
      <color rgb="FF0067B1"/>
      <name val="Arial"/>
    </font>
    <font>
      <i/>
      <sz val="8.0"/>
      <color theme="1"/>
      <name val="Arial"/>
    </font>
    <font>
      <b/>
      <sz val="8.0"/>
      <color theme="1"/>
      <name val="Arial"/>
    </font>
    <font>
      <b/>
      <sz val="8.0"/>
      <color rgb="FFFF0000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9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1" fillId="0" fontId="4" numFmtId="165" xfId="0" applyAlignment="1" applyBorder="1" applyFont="1" applyNumberFormat="1">
      <alignment horizontal="center" shrinkToFit="0" vertical="bottom" wrapText="1"/>
    </xf>
    <xf borderId="0" fillId="0" fontId="5" numFmtId="0" xfId="0" applyAlignment="1" applyFont="1">
      <alignment horizontal="right" vertical="bottom"/>
    </xf>
    <xf borderId="0" fillId="0" fontId="5" numFmtId="167" xfId="0" applyAlignment="1" applyFont="1" applyNumberFormat="1">
      <alignment horizontal="center" readingOrder="0" shrinkToFit="0" vertical="bottom" wrapText="1"/>
    </xf>
    <xf borderId="0" fillId="0" fontId="5" numFmtId="167" xfId="0" applyAlignment="1" applyFont="1" applyNumberFormat="1">
      <alignment horizontal="center" shrinkToFit="0" vertical="bottom" wrapText="1"/>
    </xf>
    <xf borderId="0" fillId="0" fontId="5" numFmtId="167" xfId="0" applyAlignment="1" applyFont="1" applyNumberFormat="1">
      <alignment horizontal="center" readingOrder="0" vertical="bottom"/>
    </xf>
    <xf borderId="0" fillId="0" fontId="5" numFmtId="167" xfId="0" applyAlignment="1" applyFont="1" applyNumberFormat="1">
      <alignment horizontal="center" vertical="bottom"/>
    </xf>
    <xf borderId="0" fillId="0" fontId="5" numFmtId="9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1" fillId="0" fontId="4" numFmtId="168" xfId="0" applyAlignment="1" applyBorder="1" applyFont="1" applyNumberFormat="1">
      <alignment horizontal="center" shrinkToFit="0" vertical="bottom" wrapText="1"/>
    </xf>
    <xf borderId="0" fillId="0" fontId="6" numFmtId="168" xfId="0" applyAlignment="1" applyFont="1" applyNumberFormat="1">
      <alignment horizontal="center" shrinkToFit="0" vertical="bottom" wrapText="1"/>
    </xf>
    <xf borderId="0" fillId="0" fontId="7" numFmtId="0" xfId="0" applyAlignment="1" applyFont="1">
      <alignment shrinkToFit="0" vertical="bottom" wrapText="1"/>
    </xf>
    <xf borderId="0" fillId="0" fontId="1" numFmtId="167" xfId="0" applyAlignment="1" applyFont="1" applyNumberFormat="1">
      <alignment vertical="bottom"/>
    </xf>
    <xf borderId="0" fillId="0" fontId="1" numFmtId="168" xfId="0" applyAlignment="1" applyFont="1" applyNumberFormat="1">
      <alignment vertical="bottom"/>
    </xf>
    <xf borderId="0" fillId="0" fontId="5" numFmtId="168" xfId="0" applyAlignment="1" applyFont="1" applyNumberFormat="1">
      <alignment shrinkToFit="0" vertical="bottom" wrapText="1"/>
    </xf>
    <xf borderId="0" fillId="0" fontId="5" numFmtId="168" xfId="0" applyAlignment="1" applyFont="1" applyNumberFormat="1">
      <alignment horizontal="right" shrinkToFit="0" vertical="bottom" wrapText="1"/>
    </xf>
    <xf borderId="0" fillId="0" fontId="5" numFmtId="167" xfId="0" applyAlignment="1" applyFont="1" applyNumberFormat="1">
      <alignment readingOrder="0" shrinkToFit="0" vertical="bottom" wrapText="1"/>
    </xf>
    <xf borderId="0" fillId="0" fontId="5" numFmtId="168" xfId="0" applyAlignment="1" applyFont="1" applyNumberFormat="1">
      <alignment horizontal="right" readingOrder="0" shrinkToFit="0" vertical="bottom" wrapText="1"/>
    </xf>
    <xf borderId="0" fillId="0" fontId="5" numFmtId="167" xfId="0" applyAlignment="1" applyFont="1" applyNumberFormat="1">
      <alignment shrinkToFit="0" vertical="bottom" wrapText="1"/>
    </xf>
    <xf borderId="1" fillId="0" fontId="1" numFmtId="168" xfId="0" applyAlignment="1" applyBorder="1" applyFont="1" applyNumberFormat="1">
      <alignment vertical="bottom"/>
    </xf>
    <xf borderId="1" fillId="0" fontId="5" numFmtId="168" xfId="0" applyAlignment="1" applyBorder="1" applyFont="1" applyNumberFormat="1">
      <alignment horizontal="right" shrinkToFit="0" vertical="bottom" wrapText="1"/>
    </xf>
    <xf borderId="0" fillId="0" fontId="8" numFmtId="167" xfId="0" applyAlignment="1" applyFont="1" applyNumberFormat="1">
      <alignment shrinkToFit="0" vertical="bottom" wrapText="1"/>
    </xf>
    <xf borderId="0" fillId="0" fontId="8" numFmtId="168" xfId="0" applyAlignment="1" applyFont="1" applyNumberFormat="1">
      <alignment horizontal="right" shrinkToFit="0" vertical="bottom" wrapText="1"/>
    </xf>
    <xf borderId="2" fillId="0" fontId="8" numFmtId="169" xfId="0" applyAlignment="1" applyBorder="1" applyFont="1" applyNumberFormat="1">
      <alignment horizontal="right" shrinkToFit="0" vertical="bottom" wrapText="1"/>
    </xf>
    <xf borderId="0" fillId="0" fontId="8" numFmtId="170" xfId="0" applyAlignment="1" applyFont="1" applyNumberFormat="1">
      <alignment shrinkToFit="0" vertical="bottom" wrapText="1"/>
    </xf>
    <xf borderId="0" fillId="0" fontId="1" numFmtId="170" xfId="0" applyAlignment="1" applyFont="1" applyNumberFormat="1">
      <alignment vertical="bottom"/>
    </xf>
    <xf borderId="0" fillId="0" fontId="5" numFmtId="171" xfId="0" applyAlignment="1" applyFont="1" applyNumberFormat="1">
      <alignment shrinkToFit="0" vertical="bottom" wrapText="1"/>
    </xf>
    <xf borderId="0" fillId="0" fontId="5" numFmtId="171" xfId="0" applyAlignment="1" applyFont="1" applyNumberFormat="1">
      <alignment horizontal="right" shrinkToFit="0" vertical="bottom" wrapText="1"/>
    </xf>
    <xf borderId="0" fillId="0" fontId="1" numFmtId="10" xfId="0" applyAlignment="1" applyFont="1" applyNumberFormat="1">
      <alignment vertical="bottom"/>
    </xf>
    <xf borderId="0" fillId="0" fontId="5" numFmtId="172" xfId="0" applyAlignment="1" applyFont="1" applyNumberFormat="1">
      <alignment horizontal="right" shrinkToFit="0" vertical="bottom" wrapText="1"/>
    </xf>
    <xf borderId="0" fillId="0" fontId="5" numFmtId="171" xfId="0" applyAlignment="1" applyFont="1" applyNumberFormat="1">
      <alignment readingOrder="0" shrinkToFit="0" vertical="bottom" wrapText="1"/>
    </xf>
    <xf borderId="0" fillId="0" fontId="8" numFmtId="171" xfId="0" applyAlignment="1" applyFont="1" applyNumberFormat="1">
      <alignment shrinkToFit="0" vertical="bottom" wrapText="1"/>
    </xf>
    <xf borderId="0" fillId="0" fontId="1" numFmtId="171" xfId="0" applyAlignment="1" applyFont="1" applyNumberFormat="1">
      <alignment vertical="bottom"/>
    </xf>
    <xf borderId="0" fillId="0" fontId="9" numFmtId="168" xfId="0" applyAlignment="1" applyFont="1" applyNumberFormat="1">
      <alignment horizontal="right" shrinkToFit="0" vertical="bottom" wrapText="1"/>
    </xf>
    <xf borderId="0" fillId="0" fontId="5" numFmtId="170" xfId="0" applyAlignment="1" applyFont="1" applyNumberFormat="1">
      <alignment shrinkToFit="0" vertical="bottom" wrapText="1"/>
    </xf>
    <xf borderId="0" fillId="0" fontId="10" numFmtId="168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textRotation="0" vertical="bottom" wrapText="1"/>
    </xf>
    <xf borderId="0" fillId="0" fontId="5" numFmtId="49" xfId="0" applyAlignment="1" applyFont="1" applyNumberFormat="1">
      <alignment readingOrder="0" shrinkToFit="0" textRotation="0" vertical="bottom" wrapText="1"/>
    </xf>
    <xf borderId="0" fillId="0" fontId="5" numFmtId="49" xfId="0" applyAlignment="1" applyFont="1" applyNumberFormat="1">
      <alignment shrinkToFit="0" vertical="bottom" wrapText="1"/>
    </xf>
    <xf borderId="0" fillId="0" fontId="5" numFmtId="49" xfId="0" applyAlignment="1" applyFont="1" applyNumberFormat="1">
      <alignment readingOrder="0" shrinkToFit="0" vertical="bottom" wrapText="1"/>
    </xf>
    <xf borderId="0" fillId="0" fontId="1" numFmtId="169" xfId="0" applyAlignment="1" applyFont="1" applyNumberFormat="1">
      <alignment vertical="bottom"/>
    </xf>
    <xf borderId="3" fillId="0" fontId="8" numFmtId="173" xfId="0" applyAlignment="1" applyBorder="1" applyFont="1" applyNumberFormat="1">
      <alignment horizontal="right" shrinkToFit="0" vertical="bottom" wrapText="1"/>
    </xf>
    <xf borderId="0" fillId="0" fontId="8" numFmtId="171" xfId="0" applyAlignment="1" applyFont="1" applyNumberFormat="1">
      <alignment readingOrder="0" shrinkToFit="0" vertical="bottom" wrapText="1"/>
    </xf>
    <xf borderId="3" fillId="0" fontId="11" numFmtId="173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23ca3dbd-ce20-4d9d-be44-43354d77e994}">
    <Anchor>
      <Comment id="{a74e6c23-550e-4b41-810a-4b9d57996731}"/>
    </Anchor>
    <History>
      <Event time="2025-11-19T22:41:33.00" id="{4f7b7fd5-a93c-4e31-9ec6-968d408d0ea3}">
        <Attribution userId="placeholder@email.com" userName="Ryan Bustamante" userProvider="google-sheets"/>
        <Anchor>
          <Comment id="{a74e6c23-550e-4b41-810a-4b9d57996731}"/>
        </Anchor>
        <Create/>
      </Event>
      <Event time="2025-11-19T22:41:33.00" id="{ad14338d-0930-407c-8d57-aa1be3a39604}">
        <Attribution userId="placeholder@email.com" userName="Ryan Bustamante" userProvider="google-sheets"/>
        <Anchor>
          <Comment id="{a74e6c23-550e-4b41-810a-4b9d57996731}"/>
        </Anchor>
        <Assign userId="magen@atomicstoragegroup.com" userName="magen@atomicstoragegroup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gen@atomicstoragegroup.com" id="{9408efa7-9a90-4062-a52b-1ebdb192ae33}" userId="magen@atomicstoragegroup.com" providerId="google-sheets"/>
  <x18tc:person displayName="Ryan Bustamante" id="{989bdb09-a1a7-448f-b78d-32012eb722b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2" dT="2025-11-19T22:41:33.00" personId="{989bdb09-a1a7-448f-b78d-32012eb722b5}" id="{a74e6c23-550e-4b41-810a-4b9d57996731}" done="1">
    <x18tc:text xml:space="preserve">@magen@atomicstoragegroup.com Currently running a $600 PPC budget
Assigned to magen@atomicstoragegroup.com</x18tc:text>
    <x18tc:mentions>
      <x18tc:mention mentionpersonId="{9408efa7-9a90-4062-a52b-1ebdb192ae33}" mentionId="{00a0dabd-dd8d-46da-96ce-a5de09ceaa4d}" startIndex="0" length="2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5.43"/>
    <col customWidth="1" min="2" max="2" width="12.29"/>
    <col customWidth="1" min="3" max="13" width="10.0"/>
    <col customWidth="1" min="14" max="15" width="10.86"/>
    <col customWidth="1" min="16" max="17" width="8.86"/>
    <col customWidth="1" min="18" max="18" width="7.57"/>
    <col customWidth="1" min="19" max="28" width="8.71"/>
  </cols>
  <sheetData>
    <row r="1">
      <c r="A1" s="1"/>
      <c r="B1" s="2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3" t="s">
        <v>1</v>
      </c>
      <c r="N2" s="1"/>
      <c r="O2" s="4"/>
      <c r="P2" s="5"/>
      <c r="Q2" s="4"/>
      <c r="R2" s="5"/>
      <c r="S2" s="4"/>
      <c r="T2" s="5"/>
      <c r="U2" s="5"/>
      <c r="V2" s="1"/>
      <c r="W2" s="1"/>
      <c r="X2" s="1"/>
      <c r="Y2" s="1"/>
      <c r="Z2" s="1"/>
      <c r="AA2" s="1"/>
      <c r="AB2" s="1"/>
    </row>
    <row r="3" ht="14.25" customHeight="1">
      <c r="A3" s="1"/>
      <c r="B3" s="6" t="s">
        <v>2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4.25" customHeight="1">
      <c r="A4" s="1"/>
      <c r="B4" s="7"/>
      <c r="C4" s="7"/>
      <c r="D4" s="7"/>
      <c r="E4" s="7"/>
      <c r="F4" s="8"/>
      <c r="G4" s="7"/>
      <c r="H4" s="7"/>
      <c r="I4" s="7"/>
      <c r="J4" s="7"/>
      <c r="K4" s="7"/>
      <c r="L4" s="7"/>
      <c r="M4" s="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4.25" customHeight="1">
      <c r="A5" s="1"/>
      <c r="B5" s="9">
        <v>46023.0</v>
      </c>
      <c r="C5" s="9">
        <v>46054.0</v>
      </c>
      <c r="D5" s="9">
        <v>46082.0</v>
      </c>
      <c r="E5" s="9">
        <v>46113.0</v>
      </c>
      <c r="F5" s="9">
        <v>46143.0</v>
      </c>
      <c r="G5" s="9">
        <v>46174.0</v>
      </c>
      <c r="H5" s="9">
        <v>46204.0</v>
      </c>
      <c r="I5" s="9">
        <v>46235.0</v>
      </c>
      <c r="J5" s="9">
        <v>46266.0</v>
      </c>
      <c r="K5" s="9">
        <v>46296.0</v>
      </c>
      <c r="L5" s="9">
        <v>46327.0</v>
      </c>
      <c r="M5" s="9">
        <v>46357.0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4.25" customHeight="1">
      <c r="A6" s="10" t="s">
        <v>3</v>
      </c>
      <c r="B6" s="11">
        <v>15.0</v>
      </c>
      <c r="C6" s="11">
        <v>20.0</v>
      </c>
      <c r="D6" s="11">
        <v>23.0</v>
      </c>
      <c r="E6" s="11">
        <v>23.0</v>
      </c>
      <c r="F6" s="11">
        <v>23.0</v>
      </c>
      <c r="G6" s="11">
        <v>30.0</v>
      </c>
      <c r="H6" s="11">
        <v>30.0</v>
      </c>
      <c r="I6" s="11">
        <v>20.0</v>
      </c>
      <c r="J6" s="11">
        <v>20.0</v>
      </c>
      <c r="K6" s="11">
        <v>20.0</v>
      </c>
      <c r="L6" s="11">
        <v>20.0</v>
      </c>
      <c r="M6" s="11">
        <v>20.0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4.25" customHeight="1">
      <c r="A7" s="10" t="s">
        <v>4</v>
      </c>
      <c r="B7" s="12">
        <f>B8*0.06</f>
        <v>16.08</v>
      </c>
      <c r="C7" s="12">
        <f t="shared" ref="C7:M7" si="1">B8*0.06</f>
        <v>16.08</v>
      </c>
      <c r="D7" s="12">
        <f t="shared" si="1"/>
        <v>16.3152</v>
      </c>
      <c r="E7" s="12">
        <f t="shared" si="1"/>
        <v>16.716288</v>
      </c>
      <c r="F7" s="12">
        <f t="shared" si="1"/>
        <v>17.09331072</v>
      </c>
      <c r="G7" s="12">
        <f t="shared" si="1"/>
        <v>17.44771208</v>
      </c>
      <c r="H7" s="12">
        <f t="shared" si="1"/>
        <v>18.20084935</v>
      </c>
      <c r="I7" s="12">
        <f t="shared" si="1"/>
        <v>18.90879839</v>
      </c>
      <c r="J7" s="12">
        <f t="shared" si="1"/>
        <v>18.97427049</v>
      </c>
      <c r="K7" s="12">
        <f t="shared" si="1"/>
        <v>19.03581426</v>
      </c>
      <c r="L7" s="12">
        <f t="shared" si="1"/>
        <v>19.0936654</v>
      </c>
      <c r="M7" s="12">
        <f t="shared" si="1"/>
        <v>19.14804548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4.25" customHeight="1">
      <c r="A8" s="10" t="s">
        <v>5</v>
      </c>
      <c r="B8" s="13">
        <v>268.0</v>
      </c>
      <c r="C8" s="14">
        <f t="shared" ref="C8:M8" si="2">B8+C6-C7</f>
        <v>271.92</v>
      </c>
      <c r="D8" s="14">
        <f t="shared" si="2"/>
        <v>278.6048</v>
      </c>
      <c r="E8" s="14">
        <f t="shared" si="2"/>
        <v>284.888512</v>
      </c>
      <c r="F8" s="14">
        <f t="shared" si="2"/>
        <v>290.7952013</v>
      </c>
      <c r="G8" s="14">
        <f t="shared" si="2"/>
        <v>303.3474892</v>
      </c>
      <c r="H8" s="14">
        <f t="shared" si="2"/>
        <v>315.1466399</v>
      </c>
      <c r="I8" s="14">
        <f t="shared" si="2"/>
        <v>316.2378415</v>
      </c>
      <c r="J8" s="14">
        <f t="shared" si="2"/>
        <v>317.263571</v>
      </c>
      <c r="K8" s="14">
        <f t="shared" si="2"/>
        <v>318.2277567</v>
      </c>
      <c r="L8" s="14">
        <f t="shared" si="2"/>
        <v>319.1340913</v>
      </c>
      <c r="M8" s="14">
        <f t="shared" si="2"/>
        <v>319.9860458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4.25" customHeight="1">
      <c r="A9" s="10" t="s">
        <v>6</v>
      </c>
      <c r="B9" s="15">
        <f t="shared" ref="B9:M9" si="3">B8/336</f>
        <v>0.7976190476</v>
      </c>
      <c r="C9" s="15">
        <f t="shared" si="3"/>
        <v>0.8092857143</v>
      </c>
      <c r="D9" s="15">
        <f t="shared" si="3"/>
        <v>0.8291809524</v>
      </c>
      <c r="E9" s="15">
        <f t="shared" si="3"/>
        <v>0.8478824762</v>
      </c>
      <c r="F9" s="15">
        <f t="shared" si="3"/>
        <v>0.8654619086</v>
      </c>
      <c r="G9" s="15">
        <f t="shared" si="3"/>
        <v>0.9028199083</v>
      </c>
      <c r="H9" s="15">
        <f t="shared" si="3"/>
        <v>0.9379364281</v>
      </c>
      <c r="I9" s="15">
        <f t="shared" si="3"/>
        <v>0.941184052</v>
      </c>
      <c r="J9" s="15">
        <f t="shared" si="3"/>
        <v>0.9442368184</v>
      </c>
      <c r="K9" s="15">
        <f t="shared" si="3"/>
        <v>0.9471064188</v>
      </c>
      <c r="L9" s="15">
        <f t="shared" si="3"/>
        <v>0.9498038432</v>
      </c>
      <c r="M9" s="15">
        <f t="shared" si="3"/>
        <v>0.9523394221</v>
      </c>
      <c r="N9" s="1"/>
      <c r="O9" s="16" t="s">
        <v>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9">
        <v>46023.0</v>
      </c>
      <c r="C10" s="9">
        <v>46054.0</v>
      </c>
      <c r="D10" s="9">
        <v>46082.0</v>
      </c>
      <c r="E10" s="9">
        <v>46113.0</v>
      </c>
      <c r="F10" s="9">
        <v>46143.0</v>
      </c>
      <c r="G10" s="9">
        <v>46174.0</v>
      </c>
      <c r="H10" s="9">
        <v>46204.0</v>
      </c>
      <c r="I10" s="9">
        <v>46235.0</v>
      </c>
      <c r="J10" s="9">
        <v>46266.0</v>
      </c>
      <c r="K10" s="9">
        <v>46296.0</v>
      </c>
      <c r="L10" s="9">
        <v>46327.0</v>
      </c>
      <c r="M10" s="9">
        <v>46357.0</v>
      </c>
      <c r="N10" s="17" t="s">
        <v>8</v>
      </c>
      <c r="O10" s="18" t="s">
        <v>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4.25" customHeight="1">
      <c r="A11" s="19" t="s">
        <v>10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1"/>
      <c r="O11" s="2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4.25" customHeight="1">
      <c r="A12" s="22" t="s">
        <v>11</v>
      </c>
      <c r="B12" s="23">
        <f t="shared" ref="B12:M12" si="4">(29973/267)*B8*0.92</f>
        <v>27678.43775</v>
      </c>
      <c r="C12" s="23">
        <f t="shared" si="4"/>
        <v>28083.28654</v>
      </c>
      <c r="D12" s="23">
        <f t="shared" si="4"/>
        <v>28773.67767</v>
      </c>
      <c r="E12" s="23">
        <f t="shared" si="4"/>
        <v>29422.64532</v>
      </c>
      <c r="F12" s="23">
        <f t="shared" si="4"/>
        <v>30032.67492</v>
      </c>
      <c r="G12" s="23">
        <f t="shared" si="4"/>
        <v>31329.04701</v>
      </c>
      <c r="H12" s="23">
        <f t="shared" si="4"/>
        <v>32547.63677</v>
      </c>
      <c r="I12" s="23">
        <f t="shared" si="4"/>
        <v>32660.33362</v>
      </c>
      <c r="J12" s="23">
        <f t="shared" si="4"/>
        <v>32766.26866</v>
      </c>
      <c r="K12" s="23">
        <f t="shared" si="4"/>
        <v>32865.84759</v>
      </c>
      <c r="L12" s="23">
        <f t="shared" si="4"/>
        <v>32959.4518</v>
      </c>
      <c r="M12" s="23">
        <f t="shared" si="4"/>
        <v>33047.43974</v>
      </c>
      <c r="N12" s="23">
        <f t="shared" ref="N12:N14" si="5">SUM(B12:M12)</f>
        <v>372166.7474</v>
      </c>
      <c r="O12" s="23">
        <f>280833.85</f>
        <v>280833.85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4.25" customHeight="1">
      <c r="A13" s="24" t="s">
        <v>12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3">
        <f t="shared" si="5"/>
        <v>0</v>
      </c>
      <c r="O13" s="25">
        <v>31151.16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4.25" customHeight="1">
      <c r="A14" s="26" t="s">
        <v>13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8">
        <f t="shared" si="5"/>
        <v>0</v>
      </c>
      <c r="O14" s="28">
        <f>SUM(C14:N14)</f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4.25" customHeight="1">
      <c r="A15" s="29" t="s">
        <v>14</v>
      </c>
      <c r="B15" s="30">
        <f t="shared" ref="B15:M15" si="6">SUM(B12:B14)</f>
        <v>27678.43775</v>
      </c>
      <c r="C15" s="30">
        <f t="shared" si="6"/>
        <v>28083.28654</v>
      </c>
      <c r="D15" s="30">
        <f t="shared" si="6"/>
        <v>28773.67767</v>
      </c>
      <c r="E15" s="30">
        <f t="shared" si="6"/>
        <v>29422.64532</v>
      </c>
      <c r="F15" s="30">
        <f t="shared" si="6"/>
        <v>30032.67492</v>
      </c>
      <c r="G15" s="30">
        <f t="shared" si="6"/>
        <v>31329.04701</v>
      </c>
      <c r="H15" s="30">
        <f t="shared" si="6"/>
        <v>32547.63677</v>
      </c>
      <c r="I15" s="30">
        <f t="shared" si="6"/>
        <v>32660.33362</v>
      </c>
      <c r="J15" s="30">
        <f t="shared" si="6"/>
        <v>32766.26866</v>
      </c>
      <c r="K15" s="30">
        <f t="shared" si="6"/>
        <v>32865.84759</v>
      </c>
      <c r="L15" s="30">
        <f t="shared" si="6"/>
        <v>32959.4518</v>
      </c>
      <c r="M15" s="30">
        <f t="shared" si="6"/>
        <v>33047.43974</v>
      </c>
      <c r="N15" s="31">
        <f>(((((((((((B15)+(C15))+(D15))+(E15))+(F15))+(G15))+(H15))+(I15))+(J15))+(K15))+(L15))+(M15)</f>
        <v>372166.7474</v>
      </c>
      <c r="O15" s="30">
        <f>SUM(O12:O14)</f>
        <v>311985.01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4.25" customHeight="1">
      <c r="A16" s="32" t="s">
        <v>15</v>
      </c>
      <c r="B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4.25" customHeight="1">
      <c r="A17" s="34" t="s">
        <v>16</v>
      </c>
      <c r="B17" s="35">
        <f t="shared" ref="B17:M17" si="7">B6*20</f>
        <v>300</v>
      </c>
      <c r="C17" s="35">
        <f t="shared" si="7"/>
        <v>400</v>
      </c>
      <c r="D17" s="35">
        <f t="shared" si="7"/>
        <v>460</v>
      </c>
      <c r="E17" s="35">
        <f t="shared" si="7"/>
        <v>460</v>
      </c>
      <c r="F17" s="35">
        <f t="shared" si="7"/>
        <v>460</v>
      </c>
      <c r="G17" s="35">
        <f t="shared" si="7"/>
        <v>600</v>
      </c>
      <c r="H17" s="35">
        <f t="shared" si="7"/>
        <v>600</v>
      </c>
      <c r="I17" s="35">
        <f t="shared" si="7"/>
        <v>400</v>
      </c>
      <c r="J17" s="35">
        <f t="shared" si="7"/>
        <v>400</v>
      </c>
      <c r="K17" s="35">
        <f t="shared" si="7"/>
        <v>400</v>
      </c>
      <c r="L17" s="35">
        <f t="shared" si="7"/>
        <v>400</v>
      </c>
      <c r="M17" s="35">
        <f t="shared" si="7"/>
        <v>400</v>
      </c>
      <c r="N17" s="23">
        <f t="shared" ref="N17:N21" si="9">SUM(B17:M17)</f>
        <v>5280</v>
      </c>
      <c r="O17" s="25">
        <v>5343.96</v>
      </c>
      <c r="P17" s="36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4.25" customHeight="1">
      <c r="A18" s="26" t="s">
        <v>17</v>
      </c>
      <c r="B18" s="37">
        <f t="shared" ref="B18:M18" si="8">B12*0.027</f>
        <v>747.3178193</v>
      </c>
      <c r="C18" s="37">
        <f t="shared" si="8"/>
        <v>758.2487367</v>
      </c>
      <c r="D18" s="37">
        <f t="shared" si="8"/>
        <v>776.889297</v>
      </c>
      <c r="E18" s="37">
        <f t="shared" si="8"/>
        <v>794.4114237</v>
      </c>
      <c r="F18" s="37">
        <f t="shared" si="8"/>
        <v>810.8822227</v>
      </c>
      <c r="G18" s="37">
        <f t="shared" si="8"/>
        <v>845.8842691</v>
      </c>
      <c r="H18" s="37">
        <f t="shared" si="8"/>
        <v>878.7861928</v>
      </c>
      <c r="I18" s="37">
        <f t="shared" si="8"/>
        <v>881.8290077</v>
      </c>
      <c r="J18" s="37">
        <f t="shared" si="8"/>
        <v>884.6892538</v>
      </c>
      <c r="K18" s="37">
        <f t="shared" si="8"/>
        <v>887.3778851</v>
      </c>
      <c r="L18" s="37">
        <f t="shared" si="8"/>
        <v>889.9051985</v>
      </c>
      <c r="M18" s="37">
        <f t="shared" si="8"/>
        <v>892.2808731</v>
      </c>
      <c r="N18" s="23">
        <f t="shared" si="9"/>
        <v>10048.50218</v>
      </c>
      <c r="O18" s="25">
        <v>8823.8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4.25" customHeight="1">
      <c r="A19" s="34" t="s">
        <v>18</v>
      </c>
      <c r="B19" s="35">
        <f t="shared" ref="B19:M19" si="10">5*(B8*0.05)</f>
        <v>67</v>
      </c>
      <c r="C19" s="35">
        <f t="shared" si="10"/>
        <v>67.98</v>
      </c>
      <c r="D19" s="35">
        <f t="shared" si="10"/>
        <v>69.6512</v>
      </c>
      <c r="E19" s="35">
        <f t="shared" si="10"/>
        <v>71.222128</v>
      </c>
      <c r="F19" s="35">
        <f t="shared" si="10"/>
        <v>72.69880032</v>
      </c>
      <c r="G19" s="35">
        <f t="shared" si="10"/>
        <v>75.8368723</v>
      </c>
      <c r="H19" s="35">
        <f t="shared" si="10"/>
        <v>78.78665996</v>
      </c>
      <c r="I19" s="35">
        <f t="shared" si="10"/>
        <v>79.05946036</v>
      </c>
      <c r="J19" s="35">
        <f t="shared" si="10"/>
        <v>79.31589274</v>
      </c>
      <c r="K19" s="35">
        <f t="shared" si="10"/>
        <v>79.55693918</v>
      </c>
      <c r="L19" s="35">
        <f t="shared" si="10"/>
        <v>79.78352283</v>
      </c>
      <c r="M19" s="35">
        <f t="shared" si="10"/>
        <v>79.99651146</v>
      </c>
      <c r="N19" s="23">
        <f t="shared" si="9"/>
        <v>900.8879872</v>
      </c>
      <c r="O19" s="25">
        <v>227.62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4.25" customHeight="1">
      <c r="A20" s="38" t="s">
        <v>19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>
        <f t="shared" si="9"/>
        <v>0</v>
      </c>
      <c r="O20" s="25">
        <v>167.97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4.25" customHeight="1">
      <c r="A21" s="34" t="s">
        <v>20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>
        <f t="shared" si="9"/>
        <v>0</v>
      </c>
      <c r="O21" s="23">
        <f>SUM(C21:N21)</f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4.25" customHeight="1">
      <c r="A22" s="39" t="s">
        <v>21</v>
      </c>
      <c r="B22" s="31">
        <f t="shared" ref="B22:M22" si="11">SUM(B17:B21)</f>
        <v>1114.317819</v>
      </c>
      <c r="C22" s="31">
        <f t="shared" si="11"/>
        <v>1226.228737</v>
      </c>
      <c r="D22" s="31">
        <f t="shared" si="11"/>
        <v>1306.540497</v>
      </c>
      <c r="E22" s="31">
        <f t="shared" si="11"/>
        <v>1325.633552</v>
      </c>
      <c r="F22" s="31">
        <f t="shared" si="11"/>
        <v>1343.581023</v>
      </c>
      <c r="G22" s="31">
        <f t="shared" si="11"/>
        <v>1521.721141</v>
      </c>
      <c r="H22" s="31">
        <f t="shared" si="11"/>
        <v>1557.572853</v>
      </c>
      <c r="I22" s="31">
        <f t="shared" si="11"/>
        <v>1360.888468</v>
      </c>
      <c r="J22" s="31">
        <f t="shared" si="11"/>
        <v>1364.005147</v>
      </c>
      <c r="K22" s="31">
        <f t="shared" si="11"/>
        <v>1366.934824</v>
      </c>
      <c r="L22" s="31">
        <f t="shared" si="11"/>
        <v>1369.688721</v>
      </c>
      <c r="M22" s="31">
        <f t="shared" si="11"/>
        <v>1372.277385</v>
      </c>
      <c r="N22" s="31">
        <f>(((((((((((B22)+(C22))+(D22))+(E22))+(F22))+(G22))+(H22))+(I22))+(J22))+(K22))+(L22))+(M22)</f>
        <v>16229.39017</v>
      </c>
      <c r="O22" s="31">
        <f>SUM(O17:O21)</f>
        <v>14563.35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4.25" customHeight="1">
      <c r="A23" s="39" t="s">
        <v>22</v>
      </c>
      <c r="B23" s="4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4.25" customHeight="1">
      <c r="A24" s="34" t="s">
        <v>23</v>
      </c>
      <c r="B24" s="23">
        <v>0.0</v>
      </c>
      <c r="C24" s="23">
        <v>0.0</v>
      </c>
      <c r="D24" s="23">
        <v>0.0</v>
      </c>
      <c r="E24" s="23">
        <v>0.0</v>
      </c>
      <c r="F24" s="23">
        <v>0.0</v>
      </c>
      <c r="G24" s="23">
        <v>0.0</v>
      </c>
      <c r="H24" s="23">
        <v>0.0</v>
      </c>
      <c r="I24" s="23">
        <v>0.0</v>
      </c>
      <c r="J24" s="23">
        <v>0.0</v>
      </c>
      <c r="K24" s="23">
        <v>0.0</v>
      </c>
      <c r="L24" s="23">
        <v>0.0</v>
      </c>
      <c r="M24" s="23">
        <v>0.0</v>
      </c>
      <c r="N24" s="23">
        <f t="shared" ref="N24:O24" si="12">SUM(B24:M24)</f>
        <v>0</v>
      </c>
      <c r="O24" s="23">
        <f t="shared" si="12"/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4.25" customHeight="1">
      <c r="A25" s="26" t="s">
        <v>24</v>
      </c>
      <c r="B25" s="41">
        <f t="shared" ref="B25:M25" si="13">B8*0.77*5</f>
        <v>1031.8</v>
      </c>
      <c r="C25" s="41">
        <f t="shared" si="13"/>
        <v>1046.892</v>
      </c>
      <c r="D25" s="41">
        <f t="shared" si="13"/>
        <v>1072.62848</v>
      </c>
      <c r="E25" s="41">
        <f t="shared" si="13"/>
        <v>1096.820771</v>
      </c>
      <c r="F25" s="41">
        <f t="shared" si="13"/>
        <v>1119.561525</v>
      </c>
      <c r="G25" s="41">
        <f t="shared" si="13"/>
        <v>1167.887833</v>
      </c>
      <c r="H25" s="41">
        <f t="shared" si="13"/>
        <v>1213.314563</v>
      </c>
      <c r="I25" s="41">
        <f t="shared" si="13"/>
        <v>1217.51569</v>
      </c>
      <c r="J25" s="41">
        <f t="shared" si="13"/>
        <v>1221.464748</v>
      </c>
      <c r="K25" s="41">
        <f t="shared" si="13"/>
        <v>1225.176863</v>
      </c>
      <c r="L25" s="41">
        <f t="shared" si="13"/>
        <v>1228.666252</v>
      </c>
      <c r="M25" s="41">
        <f t="shared" si="13"/>
        <v>1231.946276</v>
      </c>
      <c r="N25" s="23">
        <f t="shared" ref="N25:N29" si="14">SUM(B25:M25)</f>
        <v>13873.675</v>
      </c>
      <c r="O25" s="25">
        <v>10580.0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4.25" customHeight="1">
      <c r="A26" s="42" t="s">
        <v>25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3">
        <f t="shared" si="14"/>
        <v>0</v>
      </c>
      <c r="O26" s="23">
        <f t="shared" ref="O26:O29" si="15">SUM(C26:N26)</f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4.25" customHeight="1">
      <c r="A27" s="42" t="s">
        <v>26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3">
        <f t="shared" si="14"/>
        <v>0</v>
      </c>
      <c r="O27" s="23">
        <f t="shared" si="15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4.25" customHeight="1">
      <c r="A28" s="34" t="s">
        <v>27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3">
        <f t="shared" si="14"/>
        <v>0</v>
      </c>
      <c r="O28" s="23">
        <f t="shared" si="15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4.25" customHeight="1">
      <c r="A29" s="34" t="s">
        <v>27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3">
        <f t="shared" si="14"/>
        <v>0</v>
      </c>
      <c r="O29" s="23">
        <f t="shared" si="15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4.25" customHeight="1">
      <c r="A30" s="39" t="s">
        <v>28</v>
      </c>
      <c r="B30" s="31">
        <f t="shared" ref="B30:M30" si="16">SUM(B24:B29)</f>
        <v>1031.8</v>
      </c>
      <c r="C30" s="31">
        <f t="shared" si="16"/>
        <v>1046.892</v>
      </c>
      <c r="D30" s="31">
        <f t="shared" si="16"/>
        <v>1072.62848</v>
      </c>
      <c r="E30" s="31">
        <f t="shared" si="16"/>
        <v>1096.820771</v>
      </c>
      <c r="F30" s="31">
        <f t="shared" si="16"/>
        <v>1119.561525</v>
      </c>
      <c r="G30" s="31">
        <f t="shared" si="16"/>
        <v>1167.887833</v>
      </c>
      <c r="H30" s="31">
        <f t="shared" si="16"/>
        <v>1213.314563</v>
      </c>
      <c r="I30" s="31">
        <f t="shared" si="16"/>
        <v>1217.51569</v>
      </c>
      <c r="J30" s="31">
        <f t="shared" si="16"/>
        <v>1221.464748</v>
      </c>
      <c r="K30" s="31">
        <f t="shared" si="16"/>
        <v>1225.176863</v>
      </c>
      <c r="L30" s="31">
        <f t="shared" si="16"/>
        <v>1228.666252</v>
      </c>
      <c r="M30" s="31">
        <f t="shared" si="16"/>
        <v>1231.946276</v>
      </c>
      <c r="N30" s="31">
        <f>(((((((((((B30)+(C30))+(D30))+(E30))+(F30))+(G30))+(H30))+(I30))+(J30))+(K30))+(L30))+(M30)</f>
        <v>13873.675</v>
      </c>
      <c r="O30" s="31">
        <f>SUM(O24:O29)</f>
        <v>10580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14.25" customHeight="1">
      <c r="A31" s="19" t="s">
        <v>29</v>
      </c>
      <c r="B31" s="31">
        <f t="shared" ref="B31:M31" si="17">B15+B22+B30</f>
        <v>29824.55557</v>
      </c>
      <c r="C31" s="31">
        <f t="shared" si="17"/>
        <v>30356.40728</v>
      </c>
      <c r="D31" s="31">
        <f t="shared" si="17"/>
        <v>31152.84664</v>
      </c>
      <c r="E31" s="31">
        <f t="shared" si="17"/>
        <v>31845.09964</v>
      </c>
      <c r="F31" s="31">
        <f t="shared" si="17"/>
        <v>32495.81746</v>
      </c>
      <c r="G31" s="31">
        <f t="shared" si="17"/>
        <v>34018.65598</v>
      </c>
      <c r="H31" s="31">
        <f t="shared" si="17"/>
        <v>35318.52419</v>
      </c>
      <c r="I31" s="31">
        <f t="shared" si="17"/>
        <v>35238.73778</v>
      </c>
      <c r="J31" s="31">
        <f t="shared" si="17"/>
        <v>35351.73855</v>
      </c>
      <c r="K31" s="31">
        <f t="shared" si="17"/>
        <v>35457.95928</v>
      </c>
      <c r="L31" s="31">
        <f t="shared" si="17"/>
        <v>35557.80677</v>
      </c>
      <c r="M31" s="31">
        <f t="shared" si="17"/>
        <v>35651.6634</v>
      </c>
      <c r="N31" s="31">
        <f>SUM(B31:M31)</f>
        <v>402269.8126</v>
      </c>
      <c r="O31" s="31">
        <f>O15+O22+O30</f>
        <v>337128.36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4.25" customHeight="1">
      <c r="A32" s="1"/>
      <c r="B32" s="40"/>
      <c r="C32" s="40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4.25" customHeight="1">
      <c r="A33" s="19" t="s">
        <v>30</v>
      </c>
      <c r="D33" s="43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4.25" customHeight="1">
      <c r="A34" s="39" t="s">
        <v>31</v>
      </c>
      <c r="B34" s="4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4.25" customHeight="1">
      <c r="A35" s="44" t="s">
        <v>32</v>
      </c>
      <c r="B35" s="25">
        <v>500.0</v>
      </c>
      <c r="C35" s="23">
        <f t="shared" ref="C35:M35" si="18">B35</f>
        <v>500</v>
      </c>
      <c r="D35" s="23">
        <f t="shared" si="18"/>
        <v>500</v>
      </c>
      <c r="E35" s="23">
        <f t="shared" si="18"/>
        <v>500</v>
      </c>
      <c r="F35" s="23">
        <f t="shared" si="18"/>
        <v>500</v>
      </c>
      <c r="G35" s="23">
        <f t="shared" si="18"/>
        <v>500</v>
      </c>
      <c r="H35" s="23">
        <f t="shared" si="18"/>
        <v>500</v>
      </c>
      <c r="I35" s="23">
        <f t="shared" si="18"/>
        <v>500</v>
      </c>
      <c r="J35" s="23">
        <f t="shared" si="18"/>
        <v>500</v>
      </c>
      <c r="K35" s="23">
        <f t="shared" si="18"/>
        <v>500</v>
      </c>
      <c r="L35" s="23">
        <f t="shared" si="18"/>
        <v>500</v>
      </c>
      <c r="M35" s="23">
        <f t="shared" si="18"/>
        <v>500</v>
      </c>
      <c r="N35" s="23">
        <f t="shared" ref="N35:N47" si="21">(((((((((((B35)+(C35))+(D35))+(E35))+(F35))+(G35))+(H35))+(I35))+(J35))+(K35))+(L35))+(M35)</f>
        <v>6000</v>
      </c>
      <c r="O35" s="25">
        <v>1800.0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4.25" customHeight="1">
      <c r="A36" s="44" t="s">
        <v>33</v>
      </c>
      <c r="B36" s="23">
        <v>0.0</v>
      </c>
      <c r="C36" s="23">
        <v>0.0</v>
      </c>
      <c r="D36" s="23">
        <v>100.0</v>
      </c>
      <c r="E36" s="23">
        <v>0.0</v>
      </c>
      <c r="F36" s="23">
        <f t="shared" ref="F36:G36" si="19">0</f>
        <v>0</v>
      </c>
      <c r="G36" s="23">
        <f t="shared" si="19"/>
        <v>0</v>
      </c>
      <c r="H36" s="23">
        <v>100.0</v>
      </c>
      <c r="I36" s="23">
        <f t="shared" ref="I36:K36" si="20">0</f>
        <v>0</v>
      </c>
      <c r="J36" s="23">
        <f t="shared" si="20"/>
        <v>0</v>
      </c>
      <c r="K36" s="23">
        <f t="shared" si="20"/>
        <v>0</v>
      </c>
      <c r="L36" s="23">
        <v>100.0</v>
      </c>
      <c r="M36" s="23">
        <f>0</f>
        <v>0</v>
      </c>
      <c r="N36" s="23">
        <f t="shared" si="21"/>
        <v>300</v>
      </c>
      <c r="O36" s="25">
        <v>332.44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4.25" customHeight="1">
      <c r="A37" s="44" t="s">
        <v>34</v>
      </c>
      <c r="B37" s="25">
        <v>0.0</v>
      </c>
      <c r="C37" s="23">
        <f t="shared" ref="C37:M37" si="22">B37</f>
        <v>0</v>
      </c>
      <c r="D37" s="23">
        <f t="shared" si="22"/>
        <v>0</v>
      </c>
      <c r="E37" s="23">
        <f t="shared" si="22"/>
        <v>0</v>
      </c>
      <c r="F37" s="23">
        <f t="shared" si="22"/>
        <v>0</v>
      </c>
      <c r="G37" s="23">
        <f t="shared" si="22"/>
        <v>0</v>
      </c>
      <c r="H37" s="23">
        <f t="shared" si="22"/>
        <v>0</v>
      </c>
      <c r="I37" s="23">
        <f t="shared" si="22"/>
        <v>0</v>
      </c>
      <c r="J37" s="23">
        <f t="shared" si="22"/>
        <v>0</v>
      </c>
      <c r="K37" s="23">
        <f t="shared" si="22"/>
        <v>0</v>
      </c>
      <c r="L37" s="23">
        <f t="shared" si="22"/>
        <v>0</v>
      </c>
      <c r="M37" s="23">
        <f t="shared" si="22"/>
        <v>0</v>
      </c>
      <c r="N37" s="23">
        <f t="shared" si="21"/>
        <v>0</v>
      </c>
      <c r="O37" s="2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4.25" customHeight="1">
      <c r="A38" s="44" t="s">
        <v>35</v>
      </c>
      <c r="B38" s="25">
        <v>450.0</v>
      </c>
      <c r="C38" s="23">
        <f t="shared" ref="C38:M38" si="23">B38</f>
        <v>450</v>
      </c>
      <c r="D38" s="23">
        <f t="shared" si="23"/>
        <v>450</v>
      </c>
      <c r="E38" s="23">
        <f t="shared" si="23"/>
        <v>450</v>
      </c>
      <c r="F38" s="23">
        <f t="shared" si="23"/>
        <v>450</v>
      </c>
      <c r="G38" s="23">
        <f t="shared" si="23"/>
        <v>450</v>
      </c>
      <c r="H38" s="23">
        <f t="shared" si="23"/>
        <v>450</v>
      </c>
      <c r="I38" s="23">
        <f t="shared" si="23"/>
        <v>450</v>
      </c>
      <c r="J38" s="23">
        <f t="shared" si="23"/>
        <v>450</v>
      </c>
      <c r="K38" s="23">
        <f t="shared" si="23"/>
        <v>450</v>
      </c>
      <c r="L38" s="23">
        <f t="shared" si="23"/>
        <v>450</v>
      </c>
      <c r="M38" s="23">
        <f t="shared" si="23"/>
        <v>450</v>
      </c>
      <c r="N38" s="23">
        <f t="shared" si="21"/>
        <v>5400</v>
      </c>
      <c r="O38" s="25">
        <v>7218.71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4.25" customHeight="1">
      <c r="A39" s="45" t="s">
        <v>36</v>
      </c>
      <c r="B39" s="23">
        <v>0.0</v>
      </c>
      <c r="C39" s="23">
        <f t="shared" ref="C39:M39" si="24">B39</f>
        <v>0</v>
      </c>
      <c r="D39" s="23">
        <f t="shared" si="24"/>
        <v>0</v>
      </c>
      <c r="E39" s="23">
        <f t="shared" si="24"/>
        <v>0</v>
      </c>
      <c r="F39" s="23">
        <f t="shared" si="24"/>
        <v>0</v>
      </c>
      <c r="G39" s="23">
        <f t="shared" si="24"/>
        <v>0</v>
      </c>
      <c r="H39" s="23">
        <f t="shared" si="24"/>
        <v>0</v>
      </c>
      <c r="I39" s="23">
        <f t="shared" si="24"/>
        <v>0</v>
      </c>
      <c r="J39" s="23">
        <f t="shared" si="24"/>
        <v>0</v>
      </c>
      <c r="K39" s="23">
        <f t="shared" si="24"/>
        <v>0</v>
      </c>
      <c r="L39" s="23">
        <f t="shared" si="24"/>
        <v>0</v>
      </c>
      <c r="M39" s="23">
        <f t="shared" si="24"/>
        <v>0</v>
      </c>
      <c r="N39" s="23">
        <f t="shared" si="21"/>
        <v>0</v>
      </c>
      <c r="O39" s="25">
        <v>10434.6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4.25" customHeight="1">
      <c r="A40" s="39" t="s">
        <v>31</v>
      </c>
      <c r="B40" s="31">
        <f t="shared" ref="B40:M40" si="25">SUM(B35:B39)</f>
        <v>950</v>
      </c>
      <c r="C40" s="31">
        <f t="shared" si="25"/>
        <v>950</v>
      </c>
      <c r="D40" s="31">
        <f t="shared" si="25"/>
        <v>1050</v>
      </c>
      <c r="E40" s="31">
        <f t="shared" si="25"/>
        <v>950</v>
      </c>
      <c r="F40" s="31">
        <f t="shared" si="25"/>
        <v>950</v>
      </c>
      <c r="G40" s="31">
        <f t="shared" si="25"/>
        <v>950</v>
      </c>
      <c r="H40" s="31">
        <f t="shared" si="25"/>
        <v>1050</v>
      </c>
      <c r="I40" s="31">
        <f t="shared" si="25"/>
        <v>950</v>
      </c>
      <c r="J40" s="31">
        <f t="shared" si="25"/>
        <v>950</v>
      </c>
      <c r="K40" s="31">
        <f t="shared" si="25"/>
        <v>950</v>
      </c>
      <c r="L40" s="31">
        <f t="shared" si="25"/>
        <v>1050</v>
      </c>
      <c r="M40" s="31">
        <f t="shared" si="25"/>
        <v>950</v>
      </c>
      <c r="N40" s="31">
        <f t="shared" si="21"/>
        <v>11700</v>
      </c>
      <c r="O40" s="31">
        <f>SUM(O35:O39)</f>
        <v>19785.75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4.25" customHeight="1">
      <c r="A41" s="39" t="s">
        <v>37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3">
        <f t="shared" si="21"/>
        <v>0</v>
      </c>
      <c r="O41" s="2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4.25" customHeight="1">
      <c r="A42" s="46" t="s">
        <v>38</v>
      </c>
      <c r="B42" s="25">
        <v>600.0</v>
      </c>
      <c r="C42" s="23">
        <f t="shared" ref="C42:M42" si="26">B42</f>
        <v>600</v>
      </c>
      <c r="D42" s="23">
        <f t="shared" si="26"/>
        <v>600</v>
      </c>
      <c r="E42" s="23">
        <f t="shared" si="26"/>
        <v>600</v>
      </c>
      <c r="F42" s="23">
        <f t="shared" si="26"/>
        <v>600</v>
      </c>
      <c r="G42" s="23">
        <f t="shared" si="26"/>
        <v>600</v>
      </c>
      <c r="H42" s="23">
        <f t="shared" si="26"/>
        <v>600</v>
      </c>
      <c r="I42" s="23">
        <f t="shared" si="26"/>
        <v>600</v>
      </c>
      <c r="J42" s="23">
        <f t="shared" si="26"/>
        <v>600</v>
      </c>
      <c r="K42" s="23">
        <f t="shared" si="26"/>
        <v>600</v>
      </c>
      <c r="L42" s="23">
        <f t="shared" si="26"/>
        <v>600</v>
      </c>
      <c r="M42" s="23">
        <f t="shared" si="26"/>
        <v>600</v>
      </c>
      <c r="N42" s="23">
        <f t="shared" si="21"/>
        <v>7200</v>
      </c>
      <c r="O42" s="25">
        <v>2474.45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4.25" customHeight="1">
      <c r="A43" s="46" t="s">
        <v>39</v>
      </c>
      <c r="B43" s="23">
        <f t="shared" ref="B43:M43" si="27">IF(B31*0.06&lt;2300,2300,B31*0.06)</f>
        <v>2300</v>
      </c>
      <c r="C43" s="23">
        <f t="shared" si="27"/>
        <v>2300</v>
      </c>
      <c r="D43" s="23">
        <f t="shared" si="27"/>
        <v>2300</v>
      </c>
      <c r="E43" s="23">
        <f t="shared" si="27"/>
        <v>2300</v>
      </c>
      <c r="F43" s="23">
        <f t="shared" si="27"/>
        <v>2300</v>
      </c>
      <c r="G43" s="23">
        <f t="shared" si="27"/>
        <v>2300</v>
      </c>
      <c r="H43" s="23">
        <f t="shared" si="27"/>
        <v>2300</v>
      </c>
      <c r="I43" s="23">
        <f t="shared" si="27"/>
        <v>2300</v>
      </c>
      <c r="J43" s="23">
        <f t="shared" si="27"/>
        <v>2300</v>
      </c>
      <c r="K43" s="23">
        <f t="shared" si="27"/>
        <v>2300</v>
      </c>
      <c r="L43" s="23">
        <f t="shared" si="27"/>
        <v>2300</v>
      </c>
      <c r="M43" s="23">
        <f t="shared" si="27"/>
        <v>2300</v>
      </c>
      <c r="N43" s="23">
        <f t="shared" si="21"/>
        <v>27600</v>
      </c>
      <c r="O43" s="25">
        <v>27600.0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4.25" customHeight="1">
      <c r="A44" s="46" t="s">
        <v>40</v>
      </c>
      <c r="B44" s="25">
        <v>0.0</v>
      </c>
      <c r="C44" s="25">
        <v>0.0</v>
      </c>
      <c r="D44" s="25">
        <v>0.0</v>
      </c>
      <c r="E44" s="25">
        <v>0.0</v>
      </c>
      <c r="F44" s="25">
        <v>0.0</v>
      </c>
      <c r="G44" s="25">
        <v>0.0</v>
      </c>
      <c r="H44" s="25">
        <v>0.0</v>
      </c>
      <c r="I44" s="25">
        <v>0.0</v>
      </c>
      <c r="J44" s="25">
        <v>0.0</v>
      </c>
      <c r="K44" s="25">
        <v>0.0</v>
      </c>
      <c r="L44" s="25">
        <v>0.0</v>
      </c>
      <c r="M44" s="25">
        <v>0.0</v>
      </c>
      <c r="N44" s="23">
        <f t="shared" si="21"/>
        <v>0</v>
      </c>
      <c r="O44" s="25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4.25" customHeight="1">
      <c r="A45" s="47" t="s">
        <v>41</v>
      </c>
      <c r="B45" s="25">
        <v>0.0</v>
      </c>
      <c r="C45" s="25">
        <v>0.0</v>
      </c>
      <c r="D45" s="25">
        <v>0.0</v>
      </c>
      <c r="E45" s="25">
        <v>0.0</v>
      </c>
      <c r="F45" s="25">
        <v>0.0</v>
      </c>
      <c r="G45" s="25">
        <v>0.0</v>
      </c>
      <c r="H45" s="25">
        <v>0.0</v>
      </c>
      <c r="I45" s="25">
        <v>0.0</v>
      </c>
      <c r="J45" s="25">
        <v>0.0</v>
      </c>
      <c r="K45" s="25">
        <v>0.0</v>
      </c>
      <c r="L45" s="25">
        <v>200.0</v>
      </c>
      <c r="M45" s="25">
        <v>0.0</v>
      </c>
      <c r="N45" s="23">
        <f t="shared" si="21"/>
        <v>200</v>
      </c>
      <c r="O45" s="25">
        <f>89+206+211.95</f>
        <v>506.95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4.25" customHeight="1">
      <c r="A46" s="47" t="s">
        <v>42</v>
      </c>
      <c r="B46" s="25">
        <v>0.0</v>
      </c>
      <c r="C46" s="25">
        <v>0.0</v>
      </c>
      <c r="D46" s="25">
        <v>0.0</v>
      </c>
      <c r="E46" s="25">
        <v>0.0</v>
      </c>
      <c r="F46" s="25">
        <v>0.0</v>
      </c>
      <c r="G46" s="25">
        <v>100.0</v>
      </c>
      <c r="H46" s="25">
        <v>300.0</v>
      </c>
      <c r="I46" s="25">
        <v>0.0</v>
      </c>
      <c r="J46" s="25">
        <v>0.0</v>
      </c>
      <c r="K46" s="25">
        <v>0.0</v>
      </c>
      <c r="L46" s="25">
        <v>0.0</v>
      </c>
      <c r="M46" s="25">
        <v>0.0</v>
      </c>
      <c r="N46" s="23">
        <f t="shared" si="21"/>
        <v>400</v>
      </c>
      <c r="O46" s="25">
        <v>406.84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4.25" customHeight="1">
      <c r="A47" s="39" t="s">
        <v>43</v>
      </c>
      <c r="B47" s="31">
        <f t="shared" ref="B47:M47" si="28">SUM(B42:B46)</f>
        <v>2900</v>
      </c>
      <c r="C47" s="31">
        <f t="shared" si="28"/>
        <v>2900</v>
      </c>
      <c r="D47" s="31">
        <f t="shared" si="28"/>
        <v>2900</v>
      </c>
      <c r="E47" s="31">
        <f t="shared" si="28"/>
        <v>2900</v>
      </c>
      <c r="F47" s="31">
        <f t="shared" si="28"/>
        <v>2900</v>
      </c>
      <c r="G47" s="31">
        <f t="shared" si="28"/>
        <v>3000</v>
      </c>
      <c r="H47" s="31">
        <f t="shared" si="28"/>
        <v>3200</v>
      </c>
      <c r="I47" s="31">
        <f t="shared" si="28"/>
        <v>2900</v>
      </c>
      <c r="J47" s="31">
        <f t="shared" si="28"/>
        <v>2900</v>
      </c>
      <c r="K47" s="31">
        <f t="shared" si="28"/>
        <v>2900</v>
      </c>
      <c r="L47" s="31">
        <f t="shared" si="28"/>
        <v>3100</v>
      </c>
      <c r="M47" s="31">
        <f t="shared" si="28"/>
        <v>2900</v>
      </c>
      <c r="N47" s="31">
        <f t="shared" si="21"/>
        <v>35400</v>
      </c>
      <c r="O47" s="31">
        <f>SUM(O42:O46)</f>
        <v>30988.24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4.25" customHeight="1">
      <c r="A48" s="39" t="s">
        <v>44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4.25" customHeight="1">
      <c r="A49" s="46" t="s">
        <v>45</v>
      </c>
      <c r="B49" s="23">
        <f t="shared" ref="B49:M49" si="29">B24*0.4</f>
        <v>0</v>
      </c>
      <c r="C49" s="23">
        <f t="shared" si="29"/>
        <v>0</v>
      </c>
      <c r="D49" s="23">
        <f t="shared" si="29"/>
        <v>0</v>
      </c>
      <c r="E49" s="23">
        <f t="shared" si="29"/>
        <v>0</v>
      </c>
      <c r="F49" s="23">
        <f t="shared" si="29"/>
        <v>0</v>
      </c>
      <c r="G49" s="23">
        <f t="shared" si="29"/>
        <v>0</v>
      </c>
      <c r="H49" s="23">
        <f t="shared" si="29"/>
        <v>0</v>
      </c>
      <c r="I49" s="23">
        <f t="shared" si="29"/>
        <v>0</v>
      </c>
      <c r="J49" s="23">
        <f t="shared" si="29"/>
        <v>0</v>
      </c>
      <c r="K49" s="23">
        <f t="shared" si="29"/>
        <v>0</v>
      </c>
      <c r="L49" s="23">
        <f t="shared" si="29"/>
        <v>0</v>
      </c>
      <c r="M49" s="23">
        <f t="shared" si="29"/>
        <v>0</v>
      </c>
      <c r="N49" s="23">
        <f t="shared" ref="N49:N51" si="30">(((((((((((B49)+(C49))+(D49))+(E49))+(F49))+(G49))+(H49))+(I49))+(J49))+(K49))+(L49))+(M49)</f>
        <v>0</v>
      </c>
      <c r="O49" s="2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4.25" customHeight="1">
      <c r="A50" s="46" t="s">
        <v>46</v>
      </c>
      <c r="B50" s="25">
        <v>300.0</v>
      </c>
      <c r="C50" s="25">
        <v>300.0</v>
      </c>
      <c r="D50" s="25">
        <v>300.0</v>
      </c>
      <c r="E50" s="25">
        <v>300.0</v>
      </c>
      <c r="F50" s="25">
        <v>300.0</v>
      </c>
      <c r="G50" s="25">
        <v>300.0</v>
      </c>
      <c r="H50" s="25">
        <v>300.0</v>
      </c>
      <c r="I50" s="25">
        <v>300.0</v>
      </c>
      <c r="J50" s="25">
        <v>300.0</v>
      </c>
      <c r="K50" s="25">
        <v>300.0</v>
      </c>
      <c r="L50" s="25">
        <v>300.0</v>
      </c>
      <c r="M50" s="25">
        <v>300.0</v>
      </c>
      <c r="N50" s="23">
        <f t="shared" si="30"/>
        <v>3600</v>
      </c>
      <c r="O50" s="25">
        <f>772.33+4048.46</f>
        <v>4820.79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4.25" customHeight="1">
      <c r="A51" s="46" t="s">
        <v>47</v>
      </c>
      <c r="B51" s="23">
        <v>50.0</v>
      </c>
      <c r="C51" s="23">
        <v>50.0</v>
      </c>
      <c r="D51" s="23">
        <v>50.0</v>
      </c>
      <c r="E51" s="23">
        <v>50.0</v>
      </c>
      <c r="F51" s="23">
        <v>50.0</v>
      </c>
      <c r="G51" s="23">
        <v>50.0</v>
      </c>
      <c r="H51" s="23">
        <v>50.0</v>
      </c>
      <c r="I51" s="23">
        <v>50.0</v>
      </c>
      <c r="J51" s="23">
        <v>50.0</v>
      </c>
      <c r="K51" s="23">
        <v>50.0</v>
      </c>
      <c r="L51" s="23">
        <v>50.0</v>
      </c>
      <c r="M51" s="23">
        <v>50.0</v>
      </c>
      <c r="N51" s="23">
        <f t="shared" si="30"/>
        <v>600</v>
      </c>
      <c r="O51" s="23">
        <f>144.26+33.94</f>
        <v>178.2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4.25" customHeight="1">
      <c r="A52" s="47" t="s">
        <v>48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2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4.25" customHeight="1">
      <c r="A53" s="46" t="s">
        <v>46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25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4.25" customHeight="1">
      <c r="A54" s="46" t="s">
        <v>47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4.25" customHeight="1">
      <c r="A55" s="39" t="s">
        <v>49</v>
      </c>
      <c r="B55" s="31">
        <f t="shared" ref="B55:M55" si="31">SUM(B49:B54)</f>
        <v>350</v>
      </c>
      <c r="C55" s="31">
        <f t="shared" si="31"/>
        <v>350</v>
      </c>
      <c r="D55" s="31">
        <f t="shared" si="31"/>
        <v>350</v>
      </c>
      <c r="E55" s="31">
        <f t="shared" si="31"/>
        <v>350</v>
      </c>
      <c r="F55" s="31">
        <f t="shared" si="31"/>
        <v>350</v>
      </c>
      <c r="G55" s="31">
        <f t="shared" si="31"/>
        <v>350</v>
      </c>
      <c r="H55" s="31">
        <f t="shared" si="31"/>
        <v>350</v>
      </c>
      <c r="I55" s="31">
        <f t="shared" si="31"/>
        <v>350</v>
      </c>
      <c r="J55" s="31">
        <f t="shared" si="31"/>
        <v>350</v>
      </c>
      <c r="K55" s="31">
        <f t="shared" si="31"/>
        <v>350</v>
      </c>
      <c r="L55" s="31">
        <f t="shared" si="31"/>
        <v>350</v>
      </c>
      <c r="M55" s="31">
        <f t="shared" si="31"/>
        <v>350</v>
      </c>
      <c r="N55" s="31">
        <f>(((((((((((B55)+(C55))+(D55))+(E55))+(F55))+(G55))+(H55))+(I55))+(J55))+(K55))+(L55))+(M55)</f>
        <v>4200</v>
      </c>
      <c r="O55" s="31">
        <f>SUM(O49:O54)</f>
        <v>4998.99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4.25" customHeight="1">
      <c r="A56" s="39" t="s">
        <v>50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4.25" customHeight="1">
      <c r="A57" s="46" t="s">
        <v>51</v>
      </c>
      <c r="B57" s="25">
        <v>400.0</v>
      </c>
      <c r="C57" s="25">
        <v>400.0</v>
      </c>
      <c r="D57" s="25">
        <v>400.0</v>
      </c>
      <c r="E57" s="25">
        <v>400.0</v>
      </c>
      <c r="F57" s="25">
        <v>400.0</v>
      </c>
      <c r="G57" s="25">
        <v>400.0</v>
      </c>
      <c r="H57" s="25">
        <v>400.0</v>
      </c>
      <c r="I57" s="25">
        <v>400.0</v>
      </c>
      <c r="J57" s="25">
        <v>400.0</v>
      </c>
      <c r="K57" s="25">
        <v>400.0</v>
      </c>
      <c r="L57" s="25">
        <v>400.0</v>
      </c>
      <c r="M57" s="25">
        <v>400.0</v>
      </c>
      <c r="N57" s="23">
        <f t="shared" ref="N57:N58" si="32">(((((((((((B57)+(C57))+(D57))+(E57))+(F57))+(G57))+(H57))+(I57))+(J57))+(K57))+(L57))+(M57)</f>
        <v>4800</v>
      </c>
      <c r="O57" s="25">
        <f>4554.2+300</f>
        <v>4854.2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4.25" customHeight="1">
      <c r="A58" s="46" t="s">
        <v>52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3">
        <f t="shared" si="32"/>
        <v>0</v>
      </c>
      <c r="O58" s="2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4.25" customHeight="1">
      <c r="A59" s="46" t="s">
        <v>53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4.25" customHeight="1">
      <c r="A60" s="46" t="s">
        <v>54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4.25" customHeight="1">
      <c r="A61" s="46" t="s">
        <v>55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4.25" customHeight="1">
      <c r="A62" s="46" t="s">
        <v>56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4.25" customHeight="1">
      <c r="A63" s="46" t="s">
        <v>57</v>
      </c>
      <c r="B63" s="25">
        <v>420.0</v>
      </c>
      <c r="C63" s="25"/>
      <c r="D63" s="25"/>
      <c r="E63" s="25">
        <v>420.0</v>
      </c>
      <c r="F63" s="25"/>
      <c r="G63" s="25"/>
      <c r="H63" s="25">
        <v>420.0</v>
      </c>
      <c r="I63" s="25"/>
      <c r="J63" s="25"/>
      <c r="K63" s="25">
        <v>420.0</v>
      </c>
      <c r="L63" s="25"/>
      <c r="M63" s="25">
        <v>420.0</v>
      </c>
      <c r="N63" s="23">
        <f t="shared" ref="N63:N64" si="33">(((((((((((B63)+(C63))+(D63))+(E63))+(F63))+(G63))+(H63))+(I63))+(J63))+(K63))+(L63))+(M63)</f>
        <v>2100</v>
      </c>
      <c r="O63" s="25">
        <v>2520.0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4.25" customHeight="1">
      <c r="A64" s="46" t="s">
        <v>58</v>
      </c>
      <c r="B64" s="25">
        <v>300.0</v>
      </c>
      <c r="C64" s="25">
        <v>300.0</v>
      </c>
      <c r="D64" s="25">
        <v>300.0</v>
      </c>
      <c r="E64" s="25">
        <v>300.0</v>
      </c>
      <c r="F64" s="25">
        <v>300.0</v>
      </c>
      <c r="G64" s="25">
        <v>300.0</v>
      </c>
      <c r="H64" s="25">
        <v>300.0</v>
      </c>
      <c r="I64" s="25">
        <v>300.0</v>
      </c>
      <c r="J64" s="25">
        <v>300.0</v>
      </c>
      <c r="K64" s="25">
        <v>300.0</v>
      </c>
      <c r="L64" s="25">
        <v>300.0</v>
      </c>
      <c r="M64" s="25">
        <v>300.0</v>
      </c>
      <c r="N64" s="23">
        <f t="shared" si="33"/>
        <v>3600</v>
      </c>
      <c r="O64" s="25">
        <v>5976.71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4.25" customHeight="1">
      <c r="A65" s="46" t="s">
        <v>59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21"/>
      <c r="N65" s="21"/>
      <c r="O65" s="2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4.25" customHeight="1">
      <c r="A66" s="39" t="s">
        <v>60</v>
      </c>
      <c r="B66" s="31">
        <f t="shared" ref="B66:M66" si="34">SUM(B57:B65)</f>
        <v>1120</v>
      </c>
      <c r="C66" s="31">
        <f t="shared" si="34"/>
        <v>700</v>
      </c>
      <c r="D66" s="31">
        <f t="shared" si="34"/>
        <v>700</v>
      </c>
      <c r="E66" s="31">
        <f t="shared" si="34"/>
        <v>1120</v>
      </c>
      <c r="F66" s="31">
        <f t="shared" si="34"/>
        <v>700</v>
      </c>
      <c r="G66" s="31">
        <f t="shared" si="34"/>
        <v>700</v>
      </c>
      <c r="H66" s="31">
        <f t="shared" si="34"/>
        <v>1120</v>
      </c>
      <c r="I66" s="31">
        <f t="shared" si="34"/>
        <v>700</v>
      </c>
      <c r="J66" s="31">
        <f t="shared" si="34"/>
        <v>700</v>
      </c>
      <c r="K66" s="31">
        <f t="shared" si="34"/>
        <v>1120</v>
      </c>
      <c r="L66" s="31">
        <f t="shared" si="34"/>
        <v>700</v>
      </c>
      <c r="M66" s="31">
        <f t="shared" si="34"/>
        <v>1120</v>
      </c>
      <c r="N66" s="31">
        <f>(((((((((((B66)+(C66))+(D66))+(E66))+(F66))+(G66))+(H66))+(I66))+(J66))+(K66))+(L66))+(M66)</f>
        <v>10500</v>
      </c>
      <c r="O66" s="31">
        <f>SUM(O57:O65)</f>
        <v>13350.91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4.25" customHeight="1">
      <c r="A67" s="39" t="s">
        <v>61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4.25" customHeight="1">
      <c r="A68" s="46" t="s">
        <v>62</v>
      </c>
      <c r="B68" s="23">
        <v>0.0</v>
      </c>
      <c r="C68" s="23">
        <f t="shared" ref="C68:M68" si="35">B68</f>
        <v>0</v>
      </c>
      <c r="D68" s="23">
        <f t="shared" si="35"/>
        <v>0</v>
      </c>
      <c r="E68" s="23">
        <f t="shared" si="35"/>
        <v>0</v>
      </c>
      <c r="F68" s="23">
        <f t="shared" si="35"/>
        <v>0</v>
      </c>
      <c r="G68" s="23">
        <f t="shared" si="35"/>
        <v>0</v>
      </c>
      <c r="H68" s="23">
        <f t="shared" si="35"/>
        <v>0</v>
      </c>
      <c r="I68" s="23">
        <f t="shared" si="35"/>
        <v>0</v>
      </c>
      <c r="J68" s="23">
        <f t="shared" si="35"/>
        <v>0</v>
      </c>
      <c r="K68" s="23">
        <f t="shared" si="35"/>
        <v>0</v>
      </c>
      <c r="L68" s="23">
        <f t="shared" si="35"/>
        <v>0</v>
      </c>
      <c r="M68" s="23">
        <f t="shared" si="35"/>
        <v>0</v>
      </c>
      <c r="N68" s="23">
        <f>(((((((((((B68)+(C68))+(D68))+(E68))+(F68))+(G68))+(H68))+(I68))+(J68))+(K68))+(L68))+(M68)</f>
        <v>0</v>
      </c>
      <c r="O68" s="25">
        <v>653.79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4.25" customHeight="1">
      <c r="A69" s="46" t="s">
        <v>63</v>
      </c>
      <c r="B69" s="23">
        <f t="shared" ref="B69:M69" si="36">B31*0.027</f>
        <v>805.2630004</v>
      </c>
      <c r="C69" s="23">
        <f t="shared" si="36"/>
        <v>819.6229966</v>
      </c>
      <c r="D69" s="23">
        <f t="shared" si="36"/>
        <v>841.1268594</v>
      </c>
      <c r="E69" s="23">
        <f t="shared" si="36"/>
        <v>859.8176904</v>
      </c>
      <c r="F69" s="23">
        <f t="shared" si="36"/>
        <v>877.3870715</v>
      </c>
      <c r="G69" s="23">
        <f t="shared" si="36"/>
        <v>918.5037115</v>
      </c>
      <c r="H69" s="23">
        <f t="shared" si="36"/>
        <v>953.600153</v>
      </c>
      <c r="I69" s="23">
        <f t="shared" si="36"/>
        <v>951.44592</v>
      </c>
      <c r="J69" s="23">
        <f t="shared" si="36"/>
        <v>954.4969409</v>
      </c>
      <c r="K69" s="23">
        <f t="shared" si="36"/>
        <v>957.3649006</v>
      </c>
      <c r="L69" s="23">
        <f t="shared" si="36"/>
        <v>960.0607827</v>
      </c>
      <c r="M69" s="23">
        <f t="shared" si="36"/>
        <v>962.5949119</v>
      </c>
      <c r="N69" s="23">
        <f>N31*0.02</f>
        <v>8045.396251</v>
      </c>
      <c r="O69" s="25">
        <v>9064.99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4.25" customHeight="1">
      <c r="A70" s="39" t="s">
        <v>64</v>
      </c>
      <c r="B70" s="31">
        <f t="shared" ref="B70:M70" si="37">SUM(B68:B69)</f>
        <v>805.2630004</v>
      </c>
      <c r="C70" s="31">
        <f t="shared" si="37"/>
        <v>819.6229966</v>
      </c>
      <c r="D70" s="31">
        <f t="shared" si="37"/>
        <v>841.1268594</v>
      </c>
      <c r="E70" s="31">
        <f t="shared" si="37"/>
        <v>859.8176904</v>
      </c>
      <c r="F70" s="31">
        <f t="shared" si="37"/>
        <v>877.3870715</v>
      </c>
      <c r="G70" s="31">
        <f t="shared" si="37"/>
        <v>918.5037115</v>
      </c>
      <c r="H70" s="31">
        <f t="shared" si="37"/>
        <v>953.600153</v>
      </c>
      <c r="I70" s="31">
        <f t="shared" si="37"/>
        <v>951.44592</v>
      </c>
      <c r="J70" s="31">
        <f t="shared" si="37"/>
        <v>954.4969409</v>
      </c>
      <c r="K70" s="31">
        <f t="shared" si="37"/>
        <v>957.3649006</v>
      </c>
      <c r="L70" s="31">
        <f t="shared" si="37"/>
        <v>960.0607827</v>
      </c>
      <c r="M70" s="31">
        <f t="shared" si="37"/>
        <v>962.5949119</v>
      </c>
      <c r="N70" s="31">
        <f>(((((((((((B70)+(C70))+(D70))+(E70))+(F70))+(G70))+(H70))+(I70))+(J70))+(K70))+(L70))+(M70)</f>
        <v>10861.28494</v>
      </c>
      <c r="O70" s="31">
        <f>SUM(O68:O69)</f>
        <v>9718.78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4.25" customHeight="1">
      <c r="A71" s="39" t="s">
        <v>65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4.25" customHeight="1">
      <c r="A72" s="46" t="s">
        <v>66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>
        <f t="shared" ref="N72:N77" si="38">(((((((((((B72)+(C72))+(D72))+(E72))+(F72))+(G72))+(H72))+(I72))+(J72))+(K72))+(L72))+(M72)</f>
        <v>0</v>
      </c>
      <c r="O72" s="23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4.25" customHeight="1">
      <c r="A73" s="47" t="s">
        <v>67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>
        <f t="shared" si="38"/>
        <v>0</v>
      </c>
      <c r="O73" s="25">
        <v>500.0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4.25" customHeight="1">
      <c r="A74" s="46" t="s">
        <v>68</v>
      </c>
      <c r="B74" s="23">
        <v>80.0</v>
      </c>
      <c r="C74" s="23">
        <v>80.0</v>
      </c>
      <c r="D74" s="23">
        <v>80.0</v>
      </c>
      <c r="E74" s="23">
        <v>80.0</v>
      </c>
      <c r="F74" s="23">
        <v>80.0</v>
      </c>
      <c r="G74" s="23">
        <v>80.0</v>
      </c>
      <c r="H74" s="23">
        <v>80.0</v>
      </c>
      <c r="I74" s="23">
        <v>80.0</v>
      </c>
      <c r="J74" s="23">
        <v>80.0</v>
      </c>
      <c r="K74" s="23">
        <v>80.0</v>
      </c>
      <c r="L74" s="23">
        <v>80.0</v>
      </c>
      <c r="M74" s="23">
        <v>80.0</v>
      </c>
      <c r="N74" s="23">
        <f t="shared" si="38"/>
        <v>960</v>
      </c>
      <c r="O74" s="2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4.25" customHeight="1">
      <c r="A75" s="46" t="s">
        <v>69</v>
      </c>
      <c r="B75" s="23">
        <v>63.0</v>
      </c>
      <c r="C75" s="23">
        <v>63.0</v>
      </c>
      <c r="D75" s="23">
        <v>63.0</v>
      </c>
      <c r="E75" s="23">
        <v>63.0</v>
      </c>
      <c r="F75" s="23">
        <v>63.0</v>
      </c>
      <c r="G75" s="23">
        <v>63.0</v>
      </c>
      <c r="H75" s="23">
        <v>63.0</v>
      </c>
      <c r="I75" s="23">
        <v>63.0</v>
      </c>
      <c r="J75" s="23">
        <v>63.0</v>
      </c>
      <c r="K75" s="23">
        <v>63.0</v>
      </c>
      <c r="L75" s="23">
        <v>63.0</v>
      </c>
      <c r="M75" s="23">
        <v>63.0</v>
      </c>
      <c r="N75" s="23">
        <f t="shared" si="38"/>
        <v>756</v>
      </c>
      <c r="O75" s="25">
        <v>1348.57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4.25" customHeight="1">
      <c r="A76" s="46" t="s">
        <v>70</v>
      </c>
      <c r="B76" s="25">
        <v>386.0</v>
      </c>
      <c r="C76" s="23">
        <f t="shared" ref="C76:M76" si="39">B76</f>
        <v>386</v>
      </c>
      <c r="D76" s="23">
        <f t="shared" si="39"/>
        <v>386</v>
      </c>
      <c r="E76" s="23">
        <f t="shared" si="39"/>
        <v>386</v>
      </c>
      <c r="F76" s="23">
        <f t="shared" si="39"/>
        <v>386</v>
      </c>
      <c r="G76" s="23">
        <f t="shared" si="39"/>
        <v>386</v>
      </c>
      <c r="H76" s="23">
        <f t="shared" si="39"/>
        <v>386</v>
      </c>
      <c r="I76" s="23">
        <f t="shared" si="39"/>
        <v>386</v>
      </c>
      <c r="J76" s="23">
        <f t="shared" si="39"/>
        <v>386</v>
      </c>
      <c r="K76" s="23">
        <f t="shared" si="39"/>
        <v>386</v>
      </c>
      <c r="L76" s="23">
        <f t="shared" si="39"/>
        <v>386</v>
      </c>
      <c r="M76" s="23">
        <f t="shared" si="39"/>
        <v>386</v>
      </c>
      <c r="N76" s="23">
        <f t="shared" si="38"/>
        <v>4632</v>
      </c>
      <c r="O76" s="25">
        <v>3917.52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4.25" customHeight="1">
      <c r="A77" s="39" t="s">
        <v>71</v>
      </c>
      <c r="B77" s="31">
        <f t="shared" ref="B77:M77" si="40">SUM(B72:B76)</f>
        <v>529</v>
      </c>
      <c r="C77" s="31">
        <f t="shared" si="40"/>
        <v>529</v>
      </c>
      <c r="D77" s="31">
        <f t="shared" si="40"/>
        <v>529</v>
      </c>
      <c r="E77" s="31">
        <f t="shared" si="40"/>
        <v>529</v>
      </c>
      <c r="F77" s="31">
        <f t="shared" si="40"/>
        <v>529</v>
      </c>
      <c r="G77" s="31">
        <f t="shared" si="40"/>
        <v>529</v>
      </c>
      <c r="H77" s="31">
        <f t="shared" si="40"/>
        <v>529</v>
      </c>
      <c r="I77" s="31">
        <f t="shared" si="40"/>
        <v>529</v>
      </c>
      <c r="J77" s="31">
        <f t="shared" si="40"/>
        <v>529</v>
      </c>
      <c r="K77" s="31">
        <f t="shared" si="40"/>
        <v>529</v>
      </c>
      <c r="L77" s="31">
        <f t="shared" si="40"/>
        <v>529</v>
      </c>
      <c r="M77" s="31">
        <f t="shared" si="40"/>
        <v>529</v>
      </c>
      <c r="N77" s="31">
        <f t="shared" si="38"/>
        <v>6348</v>
      </c>
      <c r="O77" s="31">
        <f>SUM(O72:O76)</f>
        <v>5766.09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4.25" customHeight="1">
      <c r="A78" s="32" t="s">
        <v>72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14.25" customHeight="1">
      <c r="A79" s="46" t="s">
        <v>73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3">
        <f t="shared" ref="N79:N86" si="41">(((((((((((B79)+(C79))+(D79))+(E79))+(F79))+(G79))+(H79))+(I79))+(J79))+(K79))+(L79))+(M79)</f>
        <v>0</v>
      </c>
      <c r="O79" s="2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4.25" customHeight="1">
      <c r="A80" s="46" t="s">
        <v>74</v>
      </c>
      <c r="B80" s="25">
        <v>10.0</v>
      </c>
      <c r="C80" s="25">
        <v>10.0</v>
      </c>
      <c r="D80" s="25">
        <v>10.0</v>
      </c>
      <c r="E80" s="25">
        <v>10.0</v>
      </c>
      <c r="F80" s="25">
        <v>10.0</v>
      </c>
      <c r="G80" s="25">
        <v>10.0</v>
      </c>
      <c r="H80" s="25">
        <v>10.0</v>
      </c>
      <c r="I80" s="25">
        <v>10.0</v>
      </c>
      <c r="J80" s="25">
        <v>10.0</v>
      </c>
      <c r="K80" s="25">
        <v>10.0</v>
      </c>
      <c r="L80" s="25">
        <v>10.0</v>
      </c>
      <c r="M80" s="25">
        <v>10.0</v>
      </c>
      <c r="N80" s="23">
        <f t="shared" si="41"/>
        <v>120</v>
      </c>
      <c r="O80" s="25">
        <v>371.75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4.25" customHeight="1">
      <c r="A81" s="46" t="s">
        <v>75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3">
        <f t="shared" si="41"/>
        <v>0</v>
      </c>
      <c r="O81" s="2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14.25" customHeight="1">
      <c r="A82" s="46" t="s">
        <v>76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3">
        <f t="shared" si="41"/>
        <v>0</v>
      </c>
      <c r="O82" s="2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4.25" customHeight="1">
      <c r="A83" s="46" t="s">
        <v>77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3">
        <f t="shared" si="41"/>
        <v>0</v>
      </c>
      <c r="O83" s="2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4.25" customHeight="1">
      <c r="A84" s="46" t="s">
        <v>78</v>
      </c>
      <c r="B84" s="25">
        <v>500.0</v>
      </c>
      <c r="C84" s="23">
        <f t="shared" ref="C84:M84" si="42">B84</f>
        <v>500</v>
      </c>
      <c r="D84" s="23">
        <f t="shared" si="42"/>
        <v>500</v>
      </c>
      <c r="E84" s="23">
        <f t="shared" si="42"/>
        <v>500</v>
      </c>
      <c r="F84" s="23">
        <f t="shared" si="42"/>
        <v>500</v>
      </c>
      <c r="G84" s="23">
        <f t="shared" si="42"/>
        <v>500</v>
      </c>
      <c r="H84" s="23">
        <f t="shared" si="42"/>
        <v>500</v>
      </c>
      <c r="I84" s="23">
        <f t="shared" si="42"/>
        <v>500</v>
      </c>
      <c r="J84" s="23">
        <f t="shared" si="42"/>
        <v>500</v>
      </c>
      <c r="K84" s="23">
        <f t="shared" si="42"/>
        <v>500</v>
      </c>
      <c r="L84" s="23">
        <f t="shared" si="42"/>
        <v>500</v>
      </c>
      <c r="M84" s="23">
        <f t="shared" si="42"/>
        <v>500</v>
      </c>
      <c r="N84" s="23">
        <f t="shared" si="41"/>
        <v>6000</v>
      </c>
      <c r="O84" s="25">
        <v>3748.9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4.25" customHeight="1">
      <c r="A85" s="46" t="s">
        <v>79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3">
        <f t="shared" si="41"/>
        <v>0</v>
      </c>
      <c r="O85" s="2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4.25" customHeight="1">
      <c r="A86" s="39" t="s">
        <v>80</v>
      </c>
      <c r="B86" s="31">
        <f t="shared" ref="B86:M86" si="43">SUM(B79:B85)</f>
        <v>510</v>
      </c>
      <c r="C86" s="31">
        <f t="shared" si="43"/>
        <v>510</v>
      </c>
      <c r="D86" s="31">
        <f t="shared" si="43"/>
        <v>510</v>
      </c>
      <c r="E86" s="31">
        <f t="shared" si="43"/>
        <v>510</v>
      </c>
      <c r="F86" s="31">
        <f t="shared" si="43"/>
        <v>510</v>
      </c>
      <c r="G86" s="31">
        <f t="shared" si="43"/>
        <v>510</v>
      </c>
      <c r="H86" s="31">
        <f t="shared" si="43"/>
        <v>510</v>
      </c>
      <c r="I86" s="31">
        <f t="shared" si="43"/>
        <v>510</v>
      </c>
      <c r="J86" s="31">
        <f t="shared" si="43"/>
        <v>510</v>
      </c>
      <c r="K86" s="31">
        <f t="shared" si="43"/>
        <v>510</v>
      </c>
      <c r="L86" s="31">
        <f t="shared" si="43"/>
        <v>510</v>
      </c>
      <c r="M86" s="31">
        <f t="shared" si="43"/>
        <v>510</v>
      </c>
      <c r="N86" s="31">
        <f t="shared" si="41"/>
        <v>6120</v>
      </c>
      <c r="O86" s="31">
        <f>SUM(O79:O85)</f>
        <v>4120.65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4.25" customHeight="1">
      <c r="A87" s="39" t="s">
        <v>81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4.25" customHeight="1">
      <c r="A88" s="46" t="s">
        <v>82</v>
      </c>
      <c r="B88" s="25">
        <v>780.21</v>
      </c>
      <c r="C88" s="25">
        <v>780.21</v>
      </c>
      <c r="D88" s="25">
        <v>780.21</v>
      </c>
      <c r="E88" s="25">
        <v>780.21</v>
      </c>
      <c r="F88" s="25">
        <v>780.21</v>
      </c>
      <c r="G88" s="25">
        <v>780.21</v>
      </c>
      <c r="H88" s="25">
        <v>780.21</v>
      </c>
      <c r="I88" s="25">
        <v>780.21</v>
      </c>
      <c r="J88" s="25">
        <v>780.21</v>
      </c>
      <c r="K88" s="25">
        <v>780.21</v>
      </c>
      <c r="L88" s="25">
        <v>780.21</v>
      </c>
      <c r="M88" s="25">
        <v>780.21</v>
      </c>
      <c r="N88" s="23">
        <f t="shared" ref="N88:N90" si="44">(((((((((((B88)+(C88))+(D88))+(E88))+(F88))+(G88))+(H88))+(I88))+(J88))+(K88))+(L88))+(M88)</f>
        <v>9362.52</v>
      </c>
      <c r="O88" s="25">
        <v>10690.9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4.25" customHeight="1">
      <c r="A89" s="46" t="s">
        <v>83</v>
      </c>
      <c r="B89" s="25">
        <v>2827.36</v>
      </c>
      <c r="C89" s="25">
        <v>2827.36</v>
      </c>
      <c r="D89" s="25">
        <v>2827.36</v>
      </c>
      <c r="E89" s="25">
        <v>2827.36</v>
      </c>
      <c r="F89" s="25">
        <v>2827.36</v>
      </c>
      <c r="G89" s="25">
        <v>2827.36</v>
      </c>
      <c r="H89" s="25">
        <v>2827.36</v>
      </c>
      <c r="I89" s="25">
        <v>2827.36</v>
      </c>
      <c r="J89" s="25">
        <v>2827.36</v>
      </c>
      <c r="K89" s="25">
        <v>2827.36</v>
      </c>
      <c r="L89" s="25">
        <v>2827.36</v>
      </c>
      <c r="M89" s="25">
        <v>2827.36</v>
      </c>
      <c r="N89" s="23">
        <f t="shared" si="44"/>
        <v>33928.32</v>
      </c>
      <c r="O89" s="25">
        <v>27875.03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4.25" customHeight="1">
      <c r="A90" s="39" t="s">
        <v>84</v>
      </c>
      <c r="B90" s="31">
        <f t="shared" ref="B90:M90" si="45">SUM(B88:B89)</f>
        <v>3607.57</v>
      </c>
      <c r="C90" s="31">
        <f t="shared" si="45"/>
        <v>3607.57</v>
      </c>
      <c r="D90" s="31">
        <f t="shared" si="45"/>
        <v>3607.57</v>
      </c>
      <c r="E90" s="31">
        <f t="shared" si="45"/>
        <v>3607.57</v>
      </c>
      <c r="F90" s="31">
        <f t="shared" si="45"/>
        <v>3607.57</v>
      </c>
      <c r="G90" s="31">
        <f t="shared" si="45"/>
        <v>3607.57</v>
      </c>
      <c r="H90" s="31">
        <f t="shared" si="45"/>
        <v>3607.57</v>
      </c>
      <c r="I90" s="31">
        <f t="shared" si="45"/>
        <v>3607.57</v>
      </c>
      <c r="J90" s="31">
        <f t="shared" si="45"/>
        <v>3607.57</v>
      </c>
      <c r="K90" s="31">
        <f t="shared" si="45"/>
        <v>3607.57</v>
      </c>
      <c r="L90" s="31">
        <f t="shared" si="45"/>
        <v>3607.57</v>
      </c>
      <c r="M90" s="31">
        <f t="shared" si="45"/>
        <v>3607.57</v>
      </c>
      <c r="N90" s="31">
        <f t="shared" si="44"/>
        <v>43290.84</v>
      </c>
      <c r="O90" s="31">
        <f>SUM(O88:O89)</f>
        <v>38565.93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4.25" customHeight="1">
      <c r="A91" s="39" t="s">
        <v>85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4.25" customHeight="1">
      <c r="A92" s="46" t="s">
        <v>86</v>
      </c>
      <c r="B92" s="23">
        <v>40.0</v>
      </c>
      <c r="C92" s="23">
        <v>40.0</v>
      </c>
      <c r="D92" s="23">
        <v>40.0</v>
      </c>
      <c r="E92" s="23">
        <v>40.0</v>
      </c>
      <c r="F92" s="23">
        <v>40.0</v>
      </c>
      <c r="G92" s="23">
        <v>40.0</v>
      </c>
      <c r="H92" s="23">
        <v>40.0</v>
      </c>
      <c r="I92" s="23">
        <v>40.0</v>
      </c>
      <c r="J92" s="23">
        <v>40.0</v>
      </c>
      <c r="K92" s="23">
        <v>40.0</v>
      </c>
      <c r="L92" s="23">
        <v>40.0</v>
      </c>
      <c r="M92" s="23">
        <v>40.0</v>
      </c>
      <c r="N92" s="23">
        <f t="shared" ref="N92:N101" si="46">(((((((((((B92)+(C92))+(D92))+(E92))+(F92))+(G92))+(H92))+(I92))+(J92))+(K92))+(L92))+(M92)</f>
        <v>480</v>
      </c>
      <c r="O92" s="23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4.25" customHeight="1">
      <c r="A93" s="46" t="s">
        <v>87</v>
      </c>
      <c r="B93" s="25">
        <v>50.0</v>
      </c>
      <c r="C93" s="25">
        <v>50.0</v>
      </c>
      <c r="D93" s="25">
        <v>50.0</v>
      </c>
      <c r="E93" s="25">
        <v>50.0</v>
      </c>
      <c r="F93" s="25">
        <v>50.0</v>
      </c>
      <c r="G93" s="25">
        <v>50.0</v>
      </c>
      <c r="H93" s="25">
        <v>50.0</v>
      </c>
      <c r="I93" s="25">
        <v>50.0</v>
      </c>
      <c r="J93" s="25">
        <v>50.0</v>
      </c>
      <c r="K93" s="25">
        <v>50.0</v>
      </c>
      <c r="L93" s="25">
        <v>50.0</v>
      </c>
      <c r="M93" s="25">
        <v>50.0</v>
      </c>
      <c r="N93" s="23">
        <f t="shared" si="46"/>
        <v>600</v>
      </c>
      <c r="O93" s="25">
        <v>1119.83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4.25" customHeight="1">
      <c r="A94" s="46" t="s">
        <v>88</v>
      </c>
      <c r="B94" s="25">
        <v>250.0</v>
      </c>
      <c r="C94" s="25">
        <v>250.0</v>
      </c>
      <c r="D94" s="25">
        <v>250.0</v>
      </c>
      <c r="E94" s="25">
        <v>250.0</v>
      </c>
      <c r="F94" s="25">
        <v>250.0</v>
      </c>
      <c r="G94" s="25">
        <v>250.0</v>
      </c>
      <c r="H94" s="25">
        <v>250.0</v>
      </c>
      <c r="I94" s="25">
        <v>250.0</v>
      </c>
      <c r="J94" s="25">
        <v>250.0</v>
      </c>
      <c r="K94" s="25">
        <v>250.0</v>
      </c>
      <c r="L94" s="25">
        <v>250.0</v>
      </c>
      <c r="M94" s="25">
        <v>250.0</v>
      </c>
      <c r="N94" s="23">
        <f t="shared" si="46"/>
        <v>3000</v>
      </c>
      <c r="O94" s="25">
        <v>3115.89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4.25" customHeight="1">
      <c r="A95" s="46" t="s">
        <v>89</v>
      </c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3">
        <f t="shared" si="46"/>
        <v>0</v>
      </c>
      <c r="O95" s="23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4.25" customHeight="1">
      <c r="A96" s="46" t="s">
        <v>90</v>
      </c>
      <c r="B96" s="25">
        <v>200.0</v>
      </c>
      <c r="C96" s="25">
        <v>200.0</v>
      </c>
      <c r="D96" s="25">
        <v>200.0</v>
      </c>
      <c r="E96" s="25">
        <v>200.0</v>
      </c>
      <c r="F96" s="25">
        <v>200.0</v>
      </c>
      <c r="G96" s="25">
        <v>200.0</v>
      </c>
      <c r="H96" s="25">
        <v>200.0</v>
      </c>
      <c r="I96" s="25">
        <v>200.0</v>
      </c>
      <c r="J96" s="25">
        <v>200.0</v>
      </c>
      <c r="K96" s="25">
        <v>200.0</v>
      </c>
      <c r="L96" s="25">
        <v>200.0</v>
      </c>
      <c r="M96" s="25">
        <v>200.0</v>
      </c>
      <c r="N96" s="23">
        <f t="shared" si="46"/>
        <v>2400</v>
      </c>
      <c r="O96" s="25">
        <v>1673.37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4.25" customHeight="1">
      <c r="A97" s="46" t="s">
        <v>91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3">
        <f t="shared" si="46"/>
        <v>0</v>
      </c>
      <c r="O97" s="2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4.25" customHeight="1">
      <c r="A98" s="47" t="s">
        <v>92</v>
      </c>
      <c r="B98" s="25">
        <v>150.0</v>
      </c>
      <c r="C98" s="25">
        <v>150.0</v>
      </c>
      <c r="D98" s="25">
        <v>150.0</v>
      </c>
      <c r="E98" s="25">
        <v>150.0</v>
      </c>
      <c r="F98" s="25">
        <v>150.0</v>
      </c>
      <c r="G98" s="25">
        <v>150.0</v>
      </c>
      <c r="H98" s="25">
        <v>150.0</v>
      </c>
      <c r="I98" s="25">
        <v>150.0</v>
      </c>
      <c r="J98" s="25">
        <v>150.0</v>
      </c>
      <c r="K98" s="25">
        <v>150.0</v>
      </c>
      <c r="L98" s="25">
        <v>150.0</v>
      </c>
      <c r="M98" s="25">
        <v>150.0</v>
      </c>
      <c r="N98" s="23">
        <f t="shared" si="46"/>
        <v>1800</v>
      </c>
      <c r="O98" s="25">
        <v>2221.64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4.25" customHeight="1">
      <c r="A99" s="39" t="s">
        <v>93</v>
      </c>
      <c r="B99" s="31">
        <f t="shared" ref="B99:M99" si="47">SUM(B92:B98)</f>
        <v>690</v>
      </c>
      <c r="C99" s="31">
        <f t="shared" si="47"/>
        <v>690</v>
      </c>
      <c r="D99" s="31">
        <f t="shared" si="47"/>
        <v>690</v>
      </c>
      <c r="E99" s="31">
        <f t="shared" si="47"/>
        <v>690</v>
      </c>
      <c r="F99" s="31">
        <f t="shared" si="47"/>
        <v>690</v>
      </c>
      <c r="G99" s="31">
        <f t="shared" si="47"/>
        <v>690</v>
      </c>
      <c r="H99" s="31">
        <f t="shared" si="47"/>
        <v>690</v>
      </c>
      <c r="I99" s="31">
        <f t="shared" si="47"/>
        <v>690</v>
      </c>
      <c r="J99" s="31">
        <f t="shared" si="47"/>
        <v>690</v>
      </c>
      <c r="K99" s="31">
        <f t="shared" si="47"/>
        <v>690</v>
      </c>
      <c r="L99" s="31">
        <f t="shared" si="47"/>
        <v>690</v>
      </c>
      <c r="M99" s="31">
        <f t="shared" si="47"/>
        <v>690</v>
      </c>
      <c r="N99" s="31">
        <f t="shared" si="46"/>
        <v>8280</v>
      </c>
      <c r="O99" s="31">
        <f>SUM(O92:O98)</f>
        <v>8130.73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4.25" customHeight="1">
      <c r="A100" s="39" t="s">
        <v>94</v>
      </c>
      <c r="B100" s="31">
        <f t="shared" ref="B100:M100" si="48">B40+B47+B55+B66+B70+B77+B86+B90+B99</f>
        <v>11461.833</v>
      </c>
      <c r="C100" s="31">
        <f t="shared" si="48"/>
        <v>11056.193</v>
      </c>
      <c r="D100" s="31">
        <f t="shared" si="48"/>
        <v>11177.69686</v>
      </c>
      <c r="E100" s="31">
        <f t="shared" si="48"/>
        <v>11516.38769</v>
      </c>
      <c r="F100" s="31">
        <f t="shared" si="48"/>
        <v>11113.95707</v>
      </c>
      <c r="G100" s="31">
        <f t="shared" si="48"/>
        <v>11255.07371</v>
      </c>
      <c r="H100" s="31">
        <f t="shared" si="48"/>
        <v>12010.17015</v>
      </c>
      <c r="I100" s="31">
        <f t="shared" si="48"/>
        <v>11188.01592</v>
      </c>
      <c r="J100" s="31">
        <f t="shared" si="48"/>
        <v>11191.06694</v>
      </c>
      <c r="K100" s="31">
        <f t="shared" si="48"/>
        <v>11613.9349</v>
      </c>
      <c r="L100" s="31">
        <f t="shared" si="48"/>
        <v>11496.63078</v>
      </c>
      <c r="M100" s="31">
        <f t="shared" si="48"/>
        <v>11619.16491</v>
      </c>
      <c r="N100" s="31">
        <f t="shared" si="46"/>
        <v>136700.1249</v>
      </c>
      <c r="O100" s="31">
        <f>O40+O47+O55+O66+O70+O77+O86+O90+O99</f>
        <v>135426.07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4.25" customHeight="1">
      <c r="A101" s="39" t="s">
        <v>95</v>
      </c>
      <c r="B101" s="49">
        <f t="shared" ref="B101:M101" si="49">B31-B100</f>
        <v>18362.72257</v>
      </c>
      <c r="C101" s="49">
        <f t="shared" si="49"/>
        <v>19300.21428</v>
      </c>
      <c r="D101" s="49">
        <f t="shared" si="49"/>
        <v>19975.14978</v>
      </c>
      <c r="E101" s="49">
        <f t="shared" si="49"/>
        <v>20328.71195</v>
      </c>
      <c r="F101" s="49">
        <f t="shared" si="49"/>
        <v>21381.86039</v>
      </c>
      <c r="G101" s="49">
        <f t="shared" si="49"/>
        <v>22763.58227</v>
      </c>
      <c r="H101" s="49">
        <f t="shared" si="49"/>
        <v>23308.35403</v>
      </c>
      <c r="I101" s="49">
        <f t="shared" si="49"/>
        <v>24050.72186</v>
      </c>
      <c r="J101" s="49">
        <f t="shared" si="49"/>
        <v>24160.67161</v>
      </c>
      <c r="K101" s="49">
        <f t="shared" si="49"/>
        <v>23844.02438</v>
      </c>
      <c r="L101" s="49">
        <f t="shared" si="49"/>
        <v>24061.17599</v>
      </c>
      <c r="M101" s="49">
        <f t="shared" si="49"/>
        <v>24032.49849</v>
      </c>
      <c r="N101" s="49">
        <f t="shared" si="46"/>
        <v>265569.6876</v>
      </c>
      <c r="O101" s="49">
        <f>O31-O100</f>
        <v>201702.29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4.25" customHeight="1">
      <c r="A102" s="40"/>
      <c r="B102" s="40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4.25" customHeight="1">
      <c r="A103" s="50" t="s">
        <v>96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4.25" customHeight="1">
      <c r="A104" s="47" t="s">
        <v>97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>
        <f t="shared" ref="N104:N109" si="50">(((((((((((B104)+(C104))+(D104))+(E104))+(F104))+(G104))+(H104))+(I104))+(J104))+(K104))+(L104))+(M104)</f>
        <v>0</v>
      </c>
      <c r="O104" s="23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4.25" customHeight="1">
      <c r="A105" s="47" t="s">
        <v>98</v>
      </c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3">
        <f t="shared" si="50"/>
        <v>0</v>
      </c>
      <c r="O105" s="25">
        <v>1479.17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4.25" customHeight="1">
      <c r="A106" s="47" t="s">
        <v>99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3">
        <f t="shared" si="50"/>
        <v>0</v>
      </c>
      <c r="O106" s="23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4.25" customHeight="1">
      <c r="A107" s="47" t="s">
        <v>100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3">
        <f t="shared" si="50"/>
        <v>0</v>
      </c>
      <c r="O107" s="25">
        <v>1712.0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4.25" customHeight="1">
      <c r="A108" s="47" t="s">
        <v>101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>
        <f t="shared" si="50"/>
        <v>0</v>
      </c>
      <c r="O108" s="25">
        <v>80696.0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4.25" customHeight="1">
      <c r="A109" s="50" t="s">
        <v>102</v>
      </c>
      <c r="B109" s="31">
        <f t="shared" ref="B109:M109" si="51">SUM(B104:B108)</f>
        <v>0</v>
      </c>
      <c r="C109" s="31">
        <f t="shared" si="51"/>
        <v>0</v>
      </c>
      <c r="D109" s="31">
        <f t="shared" si="51"/>
        <v>0</v>
      </c>
      <c r="E109" s="31">
        <f t="shared" si="51"/>
        <v>0</v>
      </c>
      <c r="F109" s="31">
        <f t="shared" si="51"/>
        <v>0</v>
      </c>
      <c r="G109" s="31">
        <f t="shared" si="51"/>
        <v>0</v>
      </c>
      <c r="H109" s="31">
        <f t="shared" si="51"/>
        <v>0</v>
      </c>
      <c r="I109" s="31">
        <f t="shared" si="51"/>
        <v>0</v>
      </c>
      <c r="J109" s="31">
        <f t="shared" si="51"/>
        <v>0</v>
      </c>
      <c r="K109" s="31">
        <f t="shared" si="51"/>
        <v>0</v>
      </c>
      <c r="L109" s="31">
        <f t="shared" si="51"/>
        <v>0</v>
      </c>
      <c r="M109" s="31">
        <f t="shared" si="51"/>
        <v>0</v>
      </c>
      <c r="N109" s="31">
        <f t="shared" si="50"/>
        <v>0</v>
      </c>
      <c r="O109" s="31">
        <f>SUM(O104:O108)</f>
        <v>83887.17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4.25" customHeight="1">
      <c r="A110" s="50" t="s">
        <v>103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4.25" customHeight="1">
      <c r="A111" s="47" t="s">
        <v>104</v>
      </c>
      <c r="B111" s="25">
        <v>2096.97</v>
      </c>
      <c r="C111" s="25">
        <v>2096.97</v>
      </c>
      <c r="D111" s="25">
        <v>2096.97</v>
      </c>
      <c r="E111" s="25">
        <v>2096.97</v>
      </c>
      <c r="F111" s="25">
        <v>2096.97</v>
      </c>
      <c r="G111" s="25">
        <v>2096.97</v>
      </c>
      <c r="H111" s="25">
        <v>2096.97</v>
      </c>
      <c r="I111" s="25">
        <v>2096.97</v>
      </c>
      <c r="J111" s="25">
        <v>2096.97</v>
      </c>
      <c r="K111" s="25">
        <v>2096.97</v>
      </c>
      <c r="L111" s="25">
        <v>2096.97</v>
      </c>
      <c r="M111" s="25">
        <v>2096.97</v>
      </c>
      <c r="N111" s="23">
        <f t="shared" ref="N111:N113" si="52">(((((((((((B111)+(C111))+(D111))+(E111))+(F111))+(G111))+(H111))+(I111))+(J111))+(K111))+(L111))+(M111)</f>
        <v>25163.64</v>
      </c>
      <c r="O111" s="25">
        <v>4549.44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4.25" customHeight="1">
      <c r="A112" s="47" t="s">
        <v>105</v>
      </c>
      <c r="B112" s="25">
        <v>9624.32</v>
      </c>
      <c r="C112" s="25">
        <v>9624.32</v>
      </c>
      <c r="D112" s="25">
        <v>9624.32</v>
      </c>
      <c r="E112" s="25">
        <v>9624.32</v>
      </c>
      <c r="F112" s="25">
        <v>9624.32</v>
      </c>
      <c r="G112" s="25">
        <v>9624.32</v>
      </c>
      <c r="H112" s="25">
        <v>9624.32</v>
      </c>
      <c r="I112" s="25">
        <v>9624.32</v>
      </c>
      <c r="J112" s="25">
        <v>9624.32</v>
      </c>
      <c r="K112" s="25">
        <v>9624.32</v>
      </c>
      <c r="L112" s="25">
        <v>9624.32</v>
      </c>
      <c r="M112" s="25">
        <v>9624.32</v>
      </c>
      <c r="N112" s="23">
        <f t="shared" si="52"/>
        <v>115491.84</v>
      </c>
      <c r="O112" s="25">
        <v>115646.1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4.25" customHeight="1">
      <c r="A113" s="50" t="s">
        <v>106</v>
      </c>
      <c r="B113" s="31">
        <f t="shared" ref="B113:M113" si="53">SUM(B111:B112)</f>
        <v>11721.29</v>
      </c>
      <c r="C113" s="31">
        <f t="shared" si="53"/>
        <v>11721.29</v>
      </c>
      <c r="D113" s="31">
        <f t="shared" si="53"/>
        <v>11721.29</v>
      </c>
      <c r="E113" s="31">
        <f t="shared" si="53"/>
        <v>11721.29</v>
      </c>
      <c r="F113" s="31">
        <f t="shared" si="53"/>
        <v>11721.29</v>
      </c>
      <c r="G113" s="31">
        <f t="shared" si="53"/>
        <v>11721.29</v>
      </c>
      <c r="H113" s="31">
        <f t="shared" si="53"/>
        <v>11721.29</v>
      </c>
      <c r="I113" s="31">
        <f t="shared" si="53"/>
        <v>11721.29</v>
      </c>
      <c r="J113" s="31">
        <f t="shared" si="53"/>
        <v>11721.29</v>
      </c>
      <c r="K113" s="31">
        <f t="shared" si="53"/>
        <v>11721.29</v>
      </c>
      <c r="L113" s="31">
        <f t="shared" si="53"/>
        <v>11721.29</v>
      </c>
      <c r="M113" s="31">
        <f t="shared" si="53"/>
        <v>11721.29</v>
      </c>
      <c r="N113" s="31">
        <f t="shared" si="52"/>
        <v>140655.48</v>
      </c>
      <c r="O113" s="31">
        <f>SUM(O111:O112)</f>
        <v>120195.54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4.25" customHeight="1">
      <c r="A114" s="50" t="s">
        <v>107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4.25" customHeight="1">
      <c r="A115" s="47" t="s">
        <v>108</v>
      </c>
      <c r="B115" s="25">
        <v>2322.83</v>
      </c>
      <c r="C115" s="25">
        <v>2322.83</v>
      </c>
      <c r="D115" s="25">
        <v>2322.83</v>
      </c>
      <c r="E115" s="25">
        <v>2322.83</v>
      </c>
      <c r="F115" s="25">
        <v>2322.83</v>
      </c>
      <c r="G115" s="25">
        <v>2322.83</v>
      </c>
      <c r="H115" s="25">
        <v>2322.83</v>
      </c>
      <c r="I115" s="25">
        <v>2322.83</v>
      </c>
      <c r="J115" s="25">
        <v>2322.83</v>
      </c>
      <c r="K115" s="25">
        <v>2322.83</v>
      </c>
      <c r="L115" s="25">
        <v>2322.83</v>
      </c>
      <c r="M115" s="25">
        <v>2322.83</v>
      </c>
      <c r="N115" s="23">
        <f t="shared" ref="N115:N120" si="54">(((((((((((B115)+(C115))+(D115))+(E115))+(F115))+(G115))+(H115))+(I115))+(J115))+(K115))+(L115))+(M115)</f>
        <v>27873.96</v>
      </c>
      <c r="O115" s="25">
        <v>7859.83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4.25" customHeight="1">
      <c r="A116" s="47" t="s">
        <v>109</v>
      </c>
      <c r="B116" s="25">
        <v>967.64</v>
      </c>
      <c r="C116" s="25">
        <v>967.64</v>
      </c>
      <c r="D116" s="25">
        <v>967.64</v>
      </c>
      <c r="E116" s="25">
        <v>967.64</v>
      </c>
      <c r="F116" s="25">
        <v>967.64</v>
      </c>
      <c r="G116" s="25">
        <v>967.64</v>
      </c>
      <c r="H116" s="25">
        <v>967.64</v>
      </c>
      <c r="I116" s="25">
        <v>967.64</v>
      </c>
      <c r="J116" s="25">
        <v>967.64</v>
      </c>
      <c r="K116" s="25">
        <v>967.64</v>
      </c>
      <c r="L116" s="25">
        <v>967.64</v>
      </c>
      <c r="M116" s="25">
        <v>967.64</v>
      </c>
      <c r="N116" s="23">
        <f t="shared" si="54"/>
        <v>11611.68</v>
      </c>
      <c r="O116" s="25">
        <v>11611.68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4.25" customHeight="1">
      <c r="A117" s="47" t="s">
        <v>110</v>
      </c>
      <c r="B117" s="25">
        <v>4797.38</v>
      </c>
      <c r="C117" s="25">
        <v>4797.38</v>
      </c>
      <c r="D117" s="25">
        <v>4797.38</v>
      </c>
      <c r="E117" s="25">
        <v>4797.38</v>
      </c>
      <c r="F117" s="25">
        <v>4797.38</v>
      </c>
      <c r="G117" s="25">
        <v>4797.38</v>
      </c>
      <c r="H117" s="25">
        <v>4797.38</v>
      </c>
      <c r="I117" s="25">
        <v>4797.38</v>
      </c>
      <c r="J117" s="25">
        <v>4797.38</v>
      </c>
      <c r="K117" s="25">
        <v>4797.38</v>
      </c>
      <c r="L117" s="25">
        <v>4797.38</v>
      </c>
      <c r="M117" s="25">
        <v>4797.38</v>
      </c>
      <c r="N117" s="23">
        <f t="shared" si="54"/>
        <v>57568.56</v>
      </c>
      <c r="O117" s="25">
        <v>57985.65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4.25" customHeight="1">
      <c r="A118" s="50" t="s">
        <v>111</v>
      </c>
      <c r="B118" s="31">
        <f t="shared" ref="B118:M118" si="55">SUM(B115:B117)</f>
        <v>8087.85</v>
      </c>
      <c r="C118" s="31">
        <f t="shared" si="55"/>
        <v>8087.85</v>
      </c>
      <c r="D118" s="31">
        <f t="shared" si="55"/>
        <v>8087.85</v>
      </c>
      <c r="E118" s="31">
        <f t="shared" si="55"/>
        <v>8087.85</v>
      </c>
      <c r="F118" s="31">
        <f t="shared" si="55"/>
        <v>8087.85</v>
      </c>
      <c r="G118" s="31">
        <f t="shared" si="55"/>
        <v>8087.85</v>
      </c>
      <c r="H118" s="31">
        <f t="shared" si="55"/>
        <v>8087.85</v>
      </c>
      <c r="I118" s="31">
        <f t="shared" si="55"/>
        <v>8087.85</v>
      </c>
      <c r="J118" s="31">
        <f t="shared" si="55"/>
        <v>8087.85</v>
      </c>
      <c r="K118" s="31">
        <f t="shared" si="55"/>
        <v>8087.85</v>
      </c>
      <c r="L118" s="31">
        <f t="shared" si="55"/>
        <v>8087.85</v>
      </c>
      <c r="M118" s="31">
        <f t="shared" si="55"/>
        <v>8087.85</v>
      </c>
      <c r="N118" s="31">
        <f t="shared" si="54"/>
        <v>97054.2</v>
      </c>
      <c r="O118" s="31">
        <f>SUM(O115:O117)</f>
        <v>77457.16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4.25" customHeight="1">
      <c r="A119" s="50" t="s">
        <v>112</v>
      </c>
      <c r="B119" s="31">
        <f t="shared" ref="B119:M119" si="56">B109+B113+B118</f>
        <v>19809.14</v>
      </c>
      <c r="C119" s="31">
        <f t="shared" si="56"/>
        <v>19809.14</v>
      </c>
      <c r="D119" s="31">
        <f t="shared" si="56"/>
        <v>19809.14</v>
      </c>
      <c r="E119" s="31">
        <f t="shared" si="56"/>
        <v>19809.14</v>
      </c>
      <c r="F119" s="31">
        <f t="shared" si="56"/>
        <v>19809.14</v>
      </c>
      <c r="G119" s="31">
        <f t="shared" si="56"/>
        <v>19809.14</v>
      </c>
      <c r="H119" s="31">
        <f t="shared" si="56"/>
        <v>19809.14</v>
      </c>
      <c r="I119" s="31">
        <f t="shared" si="56"/>
        <v>19809.14</v>
      </c>
      <c r="J119" s="31">
        <f t="shared" si="56"/>
        <v>19809.14</v>
      </c>
      <c r="K119" s="31">
        <f t="shared" si="56"/>
        <v>19809.14</v>
      </c>
      <c r="L119" s="31">
        <f t="shared" si="56"/>
        <v>19809.14</v>
      </c>
      <c r="M119" s="31">
        <f t="shared" si="56"/>
        <v>19809.14</v>
      </c>
      <c r="N119" s="31">
        <f t="shared" si="54"/>
        <v>237709.68</v>
      </c>
      <c r="O119" s="31">
        <f>O109+O113+O118</f>
        <v>281539.87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4.25" customHeight="1">
      <c r="A120" s="50" t="s">
        <v>113</v>
      </c>
      <c r="B120" s="49">
        <f t="shared" ref="B120:M120" si="57">B101-B119</f>
        <v>-1446.417428</v>
      </c>
      <c r="C120" s="49">
        <f t="shared" si="57"/>
        <v>-508.9257161</v>
      </c>
      <c r="D120" s="49">
        <f t="shared" si="57"/>
        <v>166.0097834</v>
      </c>
      <c r="E120" s="49">
        <f t="shared" si="57"/>
        <v>519.5719529</v>
      </c>
      <c r="F120" s="49">
        <f t="shared" si="57"/>
        <v>1572.720392</v>
      </c>
      <c r="G120" s="49">
        <f t="shared" si="57"/>
        <v>2954.442269</v>
      </c>
      <c r="H120" s="49">
        <f t="shared" si="57"/>
        <v>3499.214032</v>
      </c>
      <c r="I120" s="49">
        <f t="shared" si="57"/>
        <v>4241.581857</v>
      </c>
      <c r="J120" s="49">
        <f t="shared" si="57"/>
        <v>4351.531612</v>
      </c>
      <c r="K120" s="49">
        <f t="shared" si="57"/>
        <v>4034.884382</v>
      </c>
      <c r="L120" s="49">
        <f t="shared" si="57"/>
        <v>4252.035985</v>
      </c>
      <c r="M120" s="49">
        <f t="shared" si="57"/>
        <v>4223.358493</v>
      </c>
      <c r="N120" s="49">
        <f t="shared" si="54"/>
        <v>27860.00761</v>
      </c>
      <c r="O120" s="51">
        <f>O101-O119</f>
        <v>-79837.58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4.25" customHeight="1">
      <c r="A121" s="1"/>
      <c r="B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4.25" customHeight="1">
      <c r="A122" s="1"/>
      <c r="B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4.25" customHeight="1">
      <c r="A123" s="1"/>
      <c r="B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 ht="15.75" customHeight="1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 ht="15.75" customHeight="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 ht="15.75" customHeight="1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 ht="15.75" customHeight="1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 ht="15.75" customHeight="1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 ht="15.75" customHeight="1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 ht="15.75" customHeight="1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 ht="15.75" customHeight="1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 ht="15.75" customHeight="1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 ht="15.75" customHeight="1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 ht="15.75" customHeight="1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 ht="15.75" customHeight="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 ht="15.75" customHeight="1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 ht="15.75" customHeight="1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 ht="15.75" customHeight="1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 ht="15.75" customHeight="1">
      <c r="O985" s="52"/>
    </row>
    <row r="986" ht="15.75" customHeight="1">
      <c r="O986" s="52"/>
    </row>
    <row r="987" ht="15.75" customHeight="1">
      <c r="O987" s="52"/>
    </row>
    <row r="988" ht="15.75" customHeight="1">
      <c r="O988" s="52"/>
    </row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B1:M1"/>
    <mergeCell ref="B2:M2"/>
    <mergeCell ref="B3:M3"/>
    <mergeCell ref="A11:C11"/>
    <mergeCell ref="A33:C33"/>
  </mergeCells>
  <drawing r:id="rId4"/>
  <legacyDrawing r:id="rId5"/>
</worksheet>
</file>