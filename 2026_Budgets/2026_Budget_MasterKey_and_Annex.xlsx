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Key" sheetId="1" r:id="rId5"/>
    <sheet state="visible" name="MasterKey Annex" sheetId="2" r:id="rId6"/>
  </sheets>
  <definedNames/>
  <calcPr/>
</workbook>
</file>

<file path=xl/sharedStrings.xml><?xml version="1.0" encoding="utf-8"?>
<sst xmlns="http://schemas.openxmlformats.org/spreadsheetml/2006/main" count="218" uniqueCount="107">
  <si>
    <t xml:space="preserve">Masterkey </t>
  </si>
  <si>
    <t>Budget Overview</t>
  </si>
  <si>
    <t>January - December  2026</t>
  </si>
  <si>
    <t>Total</t>
  </si>
  <si>
    <t xml:space="preserve">Rented </t>
  </si>
  <si>
    <t xml:space="preserve">Vacated </t>
  </si>
  <si>
    <t xml:space="preserve">Net occupied </t>
  </si>
  <si>
    <t xml:space="preserve">% occupied </t>
  </si>
  <si>
    <t>T12</t>
  </si>
  <si>
    <t>11/30/2024 - 10/31/2025</t>
  </si>
  <si>
    <t xml:space="preserve">Revenue Projection </t>
  </si>
  <si>
    <t xml:space="preserve">   Rent Income</t>
  </si>
  <si>
    <t xml:space="preserve">   Parking Income</t>
  </si>
  <si>
    <t xml:space="preserve">   Sales Tax</t>
  </si>
  <si>
    <t xml:space="preserve">Total Rental Income </t>
  </si>
  <si>
    <t xml:space="preserve">Fee Income </t>
  </si>
  <si>
    <t xml:space="preserve">      Admin Fees</t>
  </si>
  <si>
    <t xml:space="preserve">      Late Fee Income</t>
  </si>
  <si>
    <t xml:space="preserve">      Convenience Fee</t>
  </si>
  <si>
    <t xml:space="preserve">      General Fee Income </t>
  </si>
  <si>
    <t xml:space="preserve">      Other Fee</t>
  </si>
  <si>
    <t xml:space="preserve">Total Fee Income </t>
  </si>
  <si>
    <t xml:space="preserve">Ancillary Income </t>
  </si>
  <si>
    <t xml:space="preserve">   Merchandise Income</t>
  </si>
  <si>
    <t xml:space="preserve">   Tenant Protection</t>
  </si>
  <si>
    <t xml:space="preserve">   Truck Rentals</t>
  </si>
  <si>
    <t xml:space="preserve">   Propane Sales</t>
  </si>
  <si>
    <t>Other Income Sources</t>
  </si>
  <si>
    <t xml:space="preserve">   Other Income Sources</t>
  </si>
  <si>
    <t>Total Ancillary Income</t>
  </si>
  <si>
    <t xml:space="preserve">Total Revenue </t>
  </si>
  <si>
    <t xml:space="preserve">Expense Projection </t>
  </si>
  <si>
    <t>Advertising/Marketing</t>
  </si>
  <si>
    <t>PPC (payperclick)</t>
  </si>
  <si>
    <t>Print Materials</t>
  </si>
  <si>
    <t>Reputation &amp; Social</t>
  </si>
  <si>
    <t>Website</t>
  </si>
  <si>
    <t>Sparefoot</t>
  </si>
  <si>
    <t xml:space="preserve">   Legal &amp; Professional Fees</t>
  </si>
  <si>
    <t>Auction Expenses</t>
  </si>
  <si>
    <t>Management Services</t>
  </si>
  <si>
    <t>Call Center</t>
  </si>
  <si>
    <t>Professional Fees</t>
  </si>
  <si>
    <t>Accounting Fees</t>
  </si>
  <si>
    <t xml:space="preserve">   Total Legal &amp; Professional Fees</t>
  </si>
  <si>
    <t xml:space="preserve">   Office/Site</t>
  </si>
  <si>
    <t>Cost of Merchandise Sold</t>
  </si>
  <si>
    <t>Site Supplies</t>
  </si>
  <si>
    <t>Office Supplies</t>
  </si>
  <si>
    <t>Taxes and Licenses</t>
  </si>
  <si>
    <t xml:space="preserve">Other Office </t>
  </si>
  <si>
    <t xml:space="preserve">   Total Office/Site</t>
  </si>
  <si>
    <t xml:space="preserve">   Repairs and Maintenance</t>
  </si>
  <si>
    <t>Lawn/Snow</t>
  </si>
  <si>
    <t>Building</t>
  </si>
  <si>
    <t>Gate &amp; Fence</t>
  </si>
  <si>
    <t xml:space="preserve">Unit Doors </t>
  </si>
  <si>
    <t>Security System</t>
  </si>
  <si>
    <t>HVAC</t>
  </si>
  <si>
    <t xml:space="preserve">Pest Control </t>
  </si>
  <si>
    <t xml:space="preserve">Site </t>
  </si>
  <si>
    <t>Trash Hauling</t>
  </si>
  <si>
    <t xml:space="preserve">   Total Repairs and Maintenance</t>
  </si>
  <si>
    <t xml:space="preserve">   Service Charges</t>
  </si>
  <si>
    <t>Bank Service Charges</t>
  </si>
  <si>
    <t>Credit Card Service Fees</t>
  </si>
  <si>
    <t xml:space="preserve">   Total Service Charges</t>
  </si>
  <si>
    <t xml:space="preserve">   Software </t>
  </si>
  <si>
    <t>Gate Software</t>
  </si>
  <si>
    <t xml:space="preserve">Collection Software </t>
  </si>
  <si>
    <t>Accounting/BillPay Software</t>
  </si>
  <si>
    <t>Other Software (Swivel)</t>
  </si>
  <si>
    <t>Storage Software</t>
  </si>
  <si>
    <t xml:space="preserve">   Total Software</t>
  </si>
  <si>
    <t xml:space="preserve">   Staffing</t>
  </si>
  <si>
    <t>Mileage</t>
  </si>
  <si>
    <t>Payroll Processing</t>
  </si>
  <si>
    <t>Payroll Taxes</t>
  </si>
  <si>
    <t>Staff Costs</t>
  </si>
  <si>
    <t xml:space="preserve">Health Insurance </t>
  </si>
  <si>
    <t>Salary/Wages</t>
  </si>
  <si>
    <t>Workers Comp</t>
  </si>
  <si>
    <t xml:space="preserve">   Total Staffing</t>
  </si>
  <si>
    <t xml:space="preserve">Taxes &amp; Insurance </t>
  </si>
  <si>
    <t>Insurance - Prop &amp; GL</t>
  </si>
  <si>
    <t>Taxes-Property</t>
  </si>
  <si>
    <t xml:space="preserve">   Total Taxes &amp; Insurance </t>
  </si>
  <si>
    <t xml:space="preserve">   Utilities</t>
  </si>
  <si>
    <t>Telephone</t>
  </si>
  <si>
    <t>Internet</t>
  </si>
  <si>
    <t>Electricity</t>
  </si>
  <si>
    <t>Water &amp; Sewer</t>
  </si>
  <si>
    <t>Gas</t>
  </si>
  <si>
    <t>Stormwater</t>
  </si>
  <si>
    <t>Trash/Disposal</t>
  </si>
  <si>
    <t xml:space="preserve">   Total Utilities</t>
  </si>
  <si>
    <t>Total Expenses</t>
  </si>
  <si>
    <t>Net Operating Income</t>
  </si>
  <si>
    <t xml:space="preserve">Other Income </t>
  </si>
  <si>
    <t>Interest Income</t>
  </si>
  <si>
    <t>Total Other Income</t>
  </si>
  <si>
    <t>Other Expense</t>
  </si>
  <si>
    <t xml:space="preserve">Interest Expense </t>
  </si>
  <si>
    <t>Total Other Expenses</t>
  </si>
  <si>
    <t>Total Other Income/Expenses</t>
  </si>
  <si>
    <t>Net Income</t>
  </si>
  <si>
    <t>Masterkey Annex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</si>
</sst>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 yyyy"/>
    <numFmt numFmtId="165" formatCode="#,##0\ _€"/>
    <numFmt numFmtId="166" formatCode="#,##0.00\ _€"/>
    <numFmt numFmtId="167" formatCode="&quot;$&quot;* #,##0.00\ _€"/>
    <numFmt numFmtId="168" formatCode="_(&quot;$&quot;* #,##0.00_);_(&quot;$&quot;* \(#,##0.00\);_(&quot;$&quot;* &quot;-&quot;??_);_(@_)"/>
    <numFmt numFmtId="169" formatCode="#,##0.00;(#,##0.00)"/>
    <numFmt numFmtId="170" formatCode="#,##0.00_);[Red](#,##0.00)"/>
    <numFmt numFmtId="171" formatCode="#,##0.00_);(#,##0.00)"/>
    <numFmt numFmtId="172" formatCode="&quot;$&quot;* #,##0.00\ _€;[Red]&quot;$&quot;* -#,##0.00\ _€"/>
  </numFmts>
  <fonts count="13">
    <font>
      <sz val="11.0"/>
      <color rgb="FF000000"/>
      <name val="Calibri"/>
      <scheme val="minor"/>
    </font>
    <font>
      <b/>
      <sz val="14.0"/>
      <color rgb="FF000000"/>
      <name val="Arial"/>
    </font>
    <font>
      <sz val="11.0"/>
      <color rgb="FF000000"/>
      <name val="Calibri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i/>
      <sz val="8.0"/>
      <color theme="1"/>
      <name val="Arial"/>
    </font>
    <font>
      <b/>
      <i/>
      <sz val="9.0"/>
      <color theme="1"/>
      <name val="Arial"/>
    </font>
    <font>
      <b/>
      <sz val="9.0"/>
      <color rgb="FF0067B1"/>
      <name val="Arial"/>
    </font>
    <font>
      <b/>
      <sz val="8.0"/>
      <color rgb="FF0067B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0" fontId="6" numFmtId="164" xfId="0" applyAlignment="1" applyBorder="1" applyFont="1" applyNumberForma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right" vertical="bottom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1" xfId="0" applyAlignment="1" applyFont="1" applyNumberFormat="1">
      <alignment horizontal="center"/>
    </xf>
    <xf borderId="0" fillId="0" fontId="8" numFmtId="165" xfId="0" applyAlignment="1" applyFont="1" applyNumberFormat="1">
      <alignment horizontal="center" shrinkToFit="0" wrapText="1"/>
    </xf>
    <xf borderId="0" fillId="0" fontId="8" numFmtId="165" xfId="0" applyAlignment="1" applyFont="1" applyNumberFormat="1">
      <alignment horizontal="center" readingOrder="0"/>
    </xf>
    <xf borderId="0" fillId="0" fontId="8" numFmtId="165" xfId="0" applyAlignment="1" applyFont="1" applyNumberFormat="1">
      <alignment horizontal="center"/>
    </xf>
    <xf borderId="0" fillId="0" fontId="7" numFmtId="1" xfId="0" applyAlignment="1" applyFont="1" applyNumberFormat="1">
      <alignment horizontal="right" vertical="bottom"/>
    </xf>
    <xf borderId="0" fillId="0" fontId="9" numFmtId="9" xfId="0" applyAlignment="1" applyFont="1" applyNumberForma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5" numFmtId="2" xfId="0" applyAlignment="1" applyFont="1" applyNumberFormat="1">
      <alignment vertical="bottom"/>
    </xf>
    <xf borderId="0" fillId="0" fontId="10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shrinkToFit="0" vertical="bottom" wrapText="1"/>
    </xf>
    <xf borderId="0" fillId="0" fontId="5" numFmtId="165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7" numFmtId="166" xfId="0" applyAlignment="1" applyFont="1" applyNumberFormat="1">
      <alignment shrinkToFit="0" vertical="bottom" wrapText="1"/>
    </xf>
    <xf borderId="0" fillId="2" fontId="7" numFmtId="166" xfId="0" applyAlignment="1" applyFill="1" applyFont="1" applyNumberFormat="1">
      <alignment horizontal="right" shrinkToFit="0" vertical="bottom" wrapText="1"/>
    </xf>
    <xf borderId="0" fillId="0" fontId="7" numFmtId="166" xfId="0" applyAlignment="1" applyFont="1" applyNumberFormat="1">
      <alignment horizontal="right" shrinkToFit="0" vertical="bottom" wrapText="1"/>
    </xf>
    <xf borderId="0" fillId="0" fontId="7" numFmtId="166" xfId="0" applyAlignment="1" applyFont="1" applyNumberFormat="1">
      <alignment horizontal="right" readingOrder="0" shrinkToFit="0" vertical="bottom" wrapText="1"/>
    </xf>
    <xf borderId="0" fillId="0" fontId="7" numFmtId="165" xfId="0" applyAlignment="1" applyFont="1" applyNumberFormat="1">
      <alignment readingOrder="0" shrinkToFit="0" vertical="bottom" wrapText="1"/>
    </xf>
    <xf borderId="1" fillId="0" fontId="5" numFmtId="166" xfId="0" applyAlignment="1" applyBorder="1" applyFont="1" applyNumberFormat="1">
      <alignment vertical="bottom"/>
    </xf>
    <xf borderId="1" fillId="0" fontId="7" numFmtId="166" xfId="0" applyAlignment="1" applyBorder="1" applyFont="1" applyNumberFormat="1">
      <alignment horizontal="right" shrinkToFit="0" vertical="bottom" wrapText="1"/>
    </xf>
    <xf borderId="0" fillId="0" fontId="12" numFmtId="165" xfId="0" applyAlignment="1" applyFont="1" applyNumberFormat="1">
      <alignment shrinkToFit="0" vertical="bottom" wrapText="1"/>
    </xf>
    <xf borderId="0" fillId="0" fontId="12" numFmtId="166" xfId="0" applyAlignment="1" applyFont="1" applyNumberFormat="1">
      <alignment horizontal="right" shrinkToFit="0" vertical="bottom" wrapText="1"/>
    </xf>
    <xf borderId="2" fillId="0" fontId="12" numFmtId="167" xfId="0" applyAlignment="1" applyBorder="1" applyFont="1" applyNumberFormat="1">
      <alignment horizontal="right" shrinkToFit="0" vertical="bottom" wrapText="1"/>
    </xf>
    <xf borderId="0" fillId="0" fontId="12" numFmtId="168" xfId="0" applyAlignment="1" applyFont="1" applyNumberFormat="1">
      <alignment shrinkToFit="0" vertical="bottom" wrapText="1"/>
    </xf>
    <xf borderId="0" fillId="0" fontId="5" numFmtId="168" xfId="0" applyAlignment="1" applyFont="1" applyNumberFormat="1">
      <alignment vertical="bottom"/>
    </xf>
    <xf borderId="0" fillId="0" fontId="5" numFmtId="169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7" numFmtId="170" xfId="0" applyAlignment="1" applyFont="1" applyNumberFormat="1">
      <alignment shrinkToFit="0" vertical="bottom" wrapText="1"/>
    </xf>
    <xf borderId="0" fillId="0" fontId="7" numFmtId="170" xfId="0" applyAlignment="1" applyFont="1" applyNumberFormat="1">
      <alignment horizontal="right" shrinkToFit="0" vertical="bottom" wrapText="1"/>
    </xf>
    <xf borderId="0" fillId="0" fontId="7" numFmtId="165" xfId="0" applyAlignment="1" applyFont="1" applyNumberFormat="1">
      <alignment shrinkToFit="0" vertical="bottom" wrapText="1"/>
    </xf>
    <xf borderId="0" fillId="0" fontId="7" numFmtId="171" xfId="0" applyAlignment="1" applyFont="1" applyNumberFormat="1">
      <alignment horizontal="right" shrinkToFit="0" vertical="bottom" wrapText="1"/>
    </xf>
    <xf borderId="0" fillId="0" fontId="12" numFmtId="170" xfId="0" applyAlignment="1" applyFont="1" applyNumberFormat="1">
      <alignment shrinkToFit="0" vertical="bottom" wrapText="1"/>
    </xf>
    <xf borderId="0" fillId="0" fontId="5" numFmtId="170" xfId="0" applyAlignment="1" applyFont="1" applyNumberFormat="1">
      <alignment vertical="bottom"/>
    </xf>
    <xf borderId="0" fillId="0" fontId="9" numFmtId="166" xfId="0" applyAlignment="1" applyFont="1" applyNumberFormat="1">
      <alignment horizontal="right" shrinkToFit="0" vertical="bottom" wrapText="1"/>
    </xf>
    <xf borderId="0" fillId="0" fontId="7" numFmtId="168" xfId="0" applyAlignment="1" applyFont="1" applyNumberFormat="1">
      <alignment shrinkToFit="0" vertical="bottom" wrapText="1"/>
    </xf>
    <xf borderId="0" fillId="0" fontId="7" numFmtId="170" xfId="0" applyAlignment="1" applyFont="1" applyNumberFormat="1">
      <alignment readingOrder="0" shrinkToFit="0" vertical="bottom" wrapText="1"/>
    </xf>
    <xf borderId="2" fillId="2" fontId="12" numFmtId="167" xfId="0" applyAlignment="1" applyBorder="1" applyFont="1" applyNumberFormat="1">
      <alignment horizontal="right" shrinkToFit="0" vertical="bottom" wrapText="1"/>
    </xf>
    <xf borderId="0" fillId="0" fontId="7" numFmtId="49" xfId="0" applyAlignment="1" applyFont="1" applyNumberFormat="1">
      <alignment shrinkToFit="0" textRotation="0" vertical="bottom" wrapText="1"/>
    </xf>
    <xf borderId="0" fillId="0" fontId="7" numFmtId="49" xfId="0" applyAlignment="1" applyFont="1" applyNumberFormat="1">
      <alignment shrinkToFit="0" vertical="bottom" wrapText="1"/>
    </xf>
    <xf borderId="0" fillId="0" fontId="7" numFmtId="49" xfId="0" applyAlignment="1" applyFont="1" applyNumberForma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7" numFmtId="166" xfId="0" applyAlignment="1" applyFont="1" applyNumberFormat="1">
      <alignment readingOrder="0" vertical="bottom"/>
    </xf>
    <xf borderId="3" fillId="0" fontId="12" numFmtId="172" xfId="0" applyAlignment="1" applyBorder="1" applyFont="1" applyNumberFormat="1">
      <alignment horizontal="right" shrinkToFit="0" vertical="bottom" wrapText="1"/>
    </xf>
    <xf borderId="0" fillId="0" fontId="12" numFmtId="170" xfId="0" applyAlignment="1" applyFont="1" applyNumberFormat="1">
      <alignment readingOrder="0" shrinkToFit="0" vertical="bottom" wrapText="1"/>
    </xf>
    <xf borderId="0" fillId="0" fontId="5" numFmtId="166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36.86"/>
    <col customWidth="1" min="2" max="13" width="10.0"/>
    <col customWidth="1" min="14" max="14" width="10.71"/>
    <col customWidth="1" min="15" max="15" width="11.43"/>
    <col customWidth="1" min="16" max="27" width="8.71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4" t="s">
        <v>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5"/>
      <c r="B4" s="6">
        <v>46023.0</v>
      </c>
      <c r="C4" s="6">
        <v>46054.0</v>
      </c>
      <c r="D4" s="6">
        <v>46082.0</v>
      </c>
      <c r="E4" s="6">
        <v>46113.0</v>
      </c>
      <c r="F4" s="6">
        <v>46143.0</v>
      </c>
      <c r="G4" s="6">
        <v>46174.0</v>
      </c>
      <c r="H4" s="6">
        <v>46204.0</v>
      </c>
      <c r="I4" s="6">
        <v>46235.0</v>
      </c>
      <c r="J4" s="6">
        <v>46266.0</v>
      </c>
      <c r="K4" s="6">
        <v>46296.0</v>
      </c>
      <c r="L4" s="6">
        <v>46327.0</v>
      </c>
      <c r="M4" s="6">
        <v>46357.0</v>
      </c>
      <c r="N4" s="7" t="s">
        <v>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8" t="s">
        <v>4</v>
      </c>
      <c r="B5" s="9">
        <v>20.0</v>
      </c>
      <c r="C5" s="9">
        <v>20.0</v>
      </c>
      <c r="D5" s="9">
        <v>25.0</v>
      </c>
      <c r="E5" s="9">
        <v>25.0</v>
      </c>
      <c r="F5" s="9">
        <v>30.0</v>
      </c>
      <c r="G5" s="9">
        <v>20.0</v>
      </c>
      <c r="H5" s="9">
        <v>15.0</v>
      </c>
      <c r="I5" s="9">
        <v>15.0</v>
      </c>
      <c r="J5" s="9">
        <v>15.0</v>
      </c>
      <c r="K5" s="9">
        <v>15.0</v>
      </c>
      <c r="L5" s="9">
        <v>15.0</v>
      </c>
      <c r="M5" s="9">
        <v>15.0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>
      <c r="A6" s="8" t="s">
        <v>5</v>
      </c>
      <c r="B6" s="10">
        <f>B7*0.05</f>
        <v>14.5</v>
      </c>
      <c r="C6" s="11">
        <f t="shared" ref="C6:M6" si="1">B7*0.05</f>
        <v>14.5</v>
      </c>
      <c r="D6" s="11">
        <f t="shared" si="1"/>
        <v>14.775</v>
      </c>
      <c r="E6" s="11">
        <f t="shared" si="1"/>
        <v>15.28625</v>
      </c>
      <c r="F6" s="11">
        <f t="shared" si="1"/>
        <v>15.7719375</v>
      </c>
      <c r="G6" s="11">
        <f t="shared" si="1"/>
        <v>16.48334063</v>
      </c>
      <c r="H6" s="11">
        <f t="shared" si="1"/>
        <v>16.65917359</v>
      </c>
      <c r="I6" s="11">
        <f t="shared" si="1"/>
        <v>16.57621491</v>
      </c>
      <c r="J6" s="11">
        <f t="shared" si="1"/>
        <v>16.49740417</v>
      </c>
      <c r="K6" s="11">
        <f t="shared" si="1"/>
        <v>16.42253396</v>
      </c>
      <c r="L6" s="11">
        <f t="shared" si="1"/>
        <v>16.35140726</v>
      </c>
      <c r="M6" s="11">
        <f t="shared" si="1"/>
        <v>16.2838369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8" t="s">
        <v>6</v>
      </c>
      <c r="B7" s="12">
        <v>290.0</v>
      </c>
      <c r="C7" s="13">
        <f t="shared" ref="C7:M7" si="2">B7+C5-C6</f>
        <v>295.5</v>
      </c>
      <c r="D7" s="13">
        <f t="shared" si="2"/>
        <v>305.725</v>
      </c>
      <c r="E7" s="13">
        <f t="shared" si="2"/>
        <v>315.43875</v>
      </c>
      <c r="F7" s="13">
        <f t="shared" si="2"/>
        <v>329.6668125</v>
      </c>
      <c r="G7" s="13">
        <f t="shared" si="2"/>
        <v>333.1834719</v>
      </c>
      <c r="H7" s="13">
        <f t="shared" si="2"/>
        <v>331.5242983</v>
      </c>
      <c r="I7" s="13">
        <f t="shared" si="2"/>
        <v>329.9480834</v>
      </c>
      <c r="J7" s="13">
        <f t="shared" si="2"/>
        <v>328.4506792</v>
      </c>
      <c r="K7" s="13">
        <f t="shared" si="2"/>
        <v>327.0281452</v>
      </c>
      <c r="L7" s="13">
        <f t="shared" si="2"/>
        <v>325.676738</v>
      </c>
      <c r="M7" s="13">
        <f t="shared" si="2"/>
        <v>324.3929011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14" t="s">
        <v>7</v>
      </c>
      <c r="B8" s="15">
        <f t="shared" ref="B8:M8" si="3">B7/341</f>
        <v>0.8504398827</v>
      </c>
      <c r="C8" s="15">
        <f t="shared" si="3"/>
        <v>0.866568915</v>
      </c>
      <c r="D8" s="15">
        <f t="shared" si="3"/>
        <v>0.8965542522</v>
      </c>
      <c r="E8" s="15">
        <f t="shared" si="3"/>
        <v>0.9250403226</v>
      </c>
      <c r="F8" s="15">
        <f t="shared" si="3"/>
        <v>0.966764846</v>
      </c>
      <c r="G8" s="15">
        <f t="shared" si="3"/>
        <v>0.9770776301</v>
      </c>
      <c r="H8" s="15">
        <f t="shared" si="3"/>
        <v>0.9722120184</v>
      </c>
      <c r="I8" s="15">
        <f t="shared" si="3"/>
        <v>0.9675896873</v>
      </c>
      <c r="J8" s="15">
        <f t="shared" si="3"/>
        <v>0.9631984727</v>
      </c>
      <c r="K8" s="15">
        <f t="shared" si="3"/>
        <v>0.9590268189</v>
      </c>
      <c r="L8" s="15">
        <f t="shared" si="3"/>
        <v>0.9550637477</v>
      </c>
      <c r="M8" s="15">
        <f t="shared" si="3"/>
        <v>0.9512988301</v>
      </c>
      <c r="N8" s="2"/>
      <c r="O8" s="16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7"/>
      <c r="B9" s="6">
        <v>46023.0</v>
      </c>
      <c r="C9" s="6">
        <v>46054.0</v>
      </c>
      <c r="D9" s="6">
        <v>46082.0</v>
      </c>
      <c r="E9" s="6">
        <v>46113.0</v>
      </c>
      <c r="F9" s="6">
        <v>46143.0</v>
      </c>
      <c r="G9" s="6">
        <v>46174.0</v>
      </c>
      <c r="H9" s="6">
        <v>46204.0</v>
      </c>
      <c r="I9" s="6">
        <v>46235.0</v>
      </c>
      <c r="J9" s="6">
        <v>46266.0</v>
      </c>
      <c r="K9" s="6">
        <v>46296.0</v>
      </c>
      <c r="L9" s="6">
        <v>46327.0</v>
      </c>
      <c r="M9" s="6">
        <v>46357.0</v>
      </c>
      <c r="N9" s="7" t="s">
        <v>3</v>
      </c>
      <c r="O9" s="18" t="s">
        <v>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19" t="s">
        <v>10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22" t="s">
        <v>11</v>
      </c>
      <c r="B11" s="23">
        <f t="shared" ref="B11:M11" si="4">((38216/290)*0.93)*B7</f>
        <v>35540.88</v>
      </c>
      <c r="C11" s="23">
        <f t="shared" si="4"/>
        <v>36214.93117</v>
      </c>
      <c r="D11" s="23">
        <f t="shared" si="4"/>
        <v>37468.05358</v>
      </c>
      <c r="E11" s="23">
        <f t="shared" si="4"/>
        <v>38658.51987</v>
      </c>
      <c r="F11" s="23">
        <f t="shared" si="4"/>
        <v>40402.23663</v>
      </c>
      <c r="G11" s="23">
        <f t="shared" si="4"/>
        <v>40833.21997</v>
      </c>
      <c r="H11" s="23">
        <f t="shared" si="4"/>
        <v>40629.88035</v>
      </c>
      <c r="I11" s="23">
        <f t="shared" si="4"/>
        <v>40436.70771</v>
      </c>
      <c r="J11" s="23">
        <f t="shared" si="4"/>
        <v>40253.19371</v>
      </c>
      <c r="K11" s="23">
        <f t="shared" si="4"/>
        <v>40078.8554</v>
      </c>
      <c r="L11" s="23">
        <f t="shared" si="4"/>
        <v>39913.23401</v>
      </c>
      <c r="M11" s="23">
        <f t="shared" si="4"/>
        <v>39755.89369</v>
      </c>
      <c r="N11" s="24">
        <f t="shared" ref="N11:N13" si="5">SUM(B11:M11)</f>
        <v>470185.6061</v>
      </c>
      <c r="O11" s="25">
        <f>400641.24-10+725+35+15</f>
        <v>401406.24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26" t="s">
        <v>12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4">
        <f t="shared" si="5"/>
        <v>0</v>
      </c>
      <c r="O12" s="2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26" t="s">
        <v>13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>
        <f t="shared" si="5"/>
        <v>0</v>
      </c>
      <c r="O13" s="2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29" t="s">
        <v>14</v>
      </c>
      <c r="B14" s="30">
        <f t="shared" ref="B14:M14" si="6">SUM(B11:B13)</f>
        <v>35540.88</v>
      </c>
      <c r="C14" s="30">
        <f t="shared" si="6"/>
        <v>36214.93117</v>
      </c>
      <c r="D14" s="30">
        <f t="shared" si="6"/>
        <v>37468.05358</v>
      </c>
      <c r="E14" s="30">
        <f t="shared" si="6"/>
        <v>38658.51987</v>
      </c>
      <c r="F14" s="30">
        <f t="shared" si="6"/>
        <v>40402.23663</v>
      </c>
      <c r="G14" s="30">
        <f t="shared" si="6"/>
        <v>40833.21997</v>
      </c>
      <c r="H14" s="30">
        <f t="shared" si="6"/>
        <v>40629.88035</v>
      </c>
      <c r="I14" s="30">
        <f t="shared" si="6"/>
        <v>40436.70771</v>
      </c>
      <c r="J14" s="30">
        <f t="shared" si="6"/>
        <v>40253.19371</v>
      </c>
      <c r="K14" s="30">
        <f t="shared" si="6"/>
        <v>40078.8554</v>
      </c>
      <c r="L14" s="30">
        <f t="shared" si="6"/>
        <v>39913.23401</v>
      </c>
      <c r="M14" s="30">
        <f t="shared" si="6"/>
        <v>39755.89369</v>
      </c>
      <c r="N14" s="31">
        <f>(((((((((((B14)+(C14))+(D14))+(E14))+(F14))+(G14))+(H14))+(I14))+(J14))+(K14))+(L14))+(M14)</f>
        <v>470185.6061</v>
      </c>
      <c r="O14" s="30">
        <f>SUM(O11:O13)</f>
        <v>401406.24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32" t="s">
        <v>15</v>
      </c>
      <c r="B15" s="33"/>
      <c r="C15" s="34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36" t="s">
        <v>16</v>
      </c>
      <c r="B16" s="37">
        <f t="shared" ref="B16:M16" si="7">B5*25</f>
        <v>500</v>
      </c>
      <c r="C16" s="37">
        <f t="shared" si="7"/>
        <v>500</v>
      </c>
      <c r="D16" s="37">
        <f t="shared" si="7"/>
        <v>625</v>
      </c>
      <c r="E16" s="37">
        <f t="shared" si="7"/>
        <v>625</v>
      </c>
      <c r="F16" s="37">
        <f t="shared" si="7"/>
        <v>750</v>
      </c>
      <c r="G16" s="37">
        <f t="shared" si="7"/>
        <v>500</v>
      </c>
      <c r="H16" s="37">
        <f t="shared" si="7"/>
        <v>375</v>
      </c>
      <c r="I16" s="37">
        <f t="shared" si="7"/>
        <v>375</v>
      </c>
      <c r="J16" s="37">
        <f t="shared" si="7"/>
        <v>375</v>
      </c>
      <c r="K16" s="37">
        <f t="shared" si="7"/>
        <v>375</v>
      </c>
      <c r="L16" s="37">
        <f t="shared" si="7"/>
        <v>375</v>
      </c>
      <c r="M16" s="37">
        <f t="shared" si="7"/>
        <v>375</v>
      </c>
      <c r="N16" s="24">
        <f t="shared" ref="N16:N20" si="9">SUM(B16:M16)</f>
        <v>5750</v>
      </c>
      <c r="O16" s="25">
        <v>6125.0</v>
      </c>
      <c r="P16" s="3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38" t="s">
        <v>17</v>
      </c>
      <c r="B17" s="39">
        <f t="shared" ref="B17:M17" si="8">B11*0.04</f>
        <v>1421.6352</v>
      </c>
      <c r="C17" s="39">
        <f t="shared" si="8"/>
        <v>1448.597247</v>
      </c>
      <c r="D17" s="39">
        <f t="shared" si="8"/>
        <v>1498.722143</v>
      </c>
      <c r="E17" s="39">
        <f t="shared" si="8"/>
        <v>1546.340795</v>
      </c>
      <c r="F17" s="39">
        <f t="shared" si="8"/>
        <v>1616.089465</v>
      </c>
      <c r="G17" s="39">
        <f t="shared" si="8"/>
        <v>1633.328799</v>
      </c>
      <c r="H17" s="39">
        <f t="shared" si="8"/>
        <v>1625.195214</v>
      </c>
      <c r="I17" s="39">
        <f t="shared" si="8"/>
        <v>1617.468309</v>
      </c>
      <c r="J17" s="39">
        <f t="shared" si="8"/>
        <v>1610.127748</v>
      </c>
      <c r="K17" s="39">
        <f t="shared" si="8"/>
        <v>1603.154216</v>
      </c>
      <c r="L17" s="39">
        <f t="shared" si="8"/>
        <v>1596.52936</v>
      </c>
      <c r="M17" s="39">
        <f t="shared" si="8"/>
        <v>1590.235748</v>
      </c>
      <c r="N17" s="24">
        <f t="shared" si="9"/>
        <v>18807.42424</v>
      </c>
      <c r="O17" s="25">
        <v>12730.2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36" t="s">
        <v>18</v>
      </c>
      <c r="B18" s="37">
        <f t="shared" ref="B18:M18" si="10">5*(B7*0.05)</f>
        <v>72.5</v>
      </c>
      <c r="C18" s="37">
        <f t="shared" si="10"/>
        <v>73.875</v>
      </c>
      <c r="D18" s="37">
        <f t="shared" si="10"/>
        <v>76.43125</v>
      </c>
      <c r="E18" s="37">
        <f t="shared" si="10"/>
        <v>78.8596875</v>
      </c>
      <c r="F18" s="37">
        <f t="shared" si="10"/>
        <v>82.41670313</v>
      </c>
      <c r="G18" s="37">
        <f t="shared" si="10"/>
        <v>83.29586797</v>
      </c>
      <c r="H18" s="37">
        <f t="shared" si="10"/>
        <v>82.88107457</v>
      </c>
      <c r="I18" s="37">
        <f t="shared" si="10"/>
        <v>82.48702084</v>
      </c>
      <c r="J18" s="37">
        <f t="shared" si="10"/>
        <v>82.1126698</v>
      </c>
      <c r="K18" s="37">
        <f t="shared" si="10"/>
        <v>81.75703631</v>
      </c>
      <c r="L18" s="37">
        <f t="shared" si="10"/>
        <v>81.41918449</v>
      </c>
      <c r="M18" s="37">
        <f t="shared" si="10"/>
        <v>81.09822527</v>
      </c>
      <c r="N18" s="24">
        <f t="shared" si="9"/>
        <v>959.1337199</v>
      </c>
      <c r="O18" s="25">
        <v>437.27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36" t="s">
        <v>19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4">
        <f t="shared" si="9"/>
        <v>0</v>
      </c>
      <c r="O19" s="25">
        <v>200.0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36" t="s">
        <v>20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24">
        <f t="shared" si="9"/>
        <v>0</v>
      </c>
      <c r="O20" s="2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40" t="s">
        <v>21</v>
      </c>
      <c r="B21" s="31">
        <f t="shared" ref="B21:M21" si="11">SUM(B16:B20)</f>
        <v>1994.1352</v>
      </c>
      <c r="C21" s="31">
        <f t="shared" si="11"/>
        <v>2022.472247</v>
      </c>
      <c r="D21" s="31">
        <f t="shared" si="11"/>
        <v>2200.153393</v>
      </c>
      <c r="E21" s="31">
        <f t="shared" si="11"/>
        <v>2250.200482</v>
      </c>
      <c r="F21" s="31">
        <f t="shared" si="11"/>
        <v>2448.506168</v>
      </c>
      <c r="G21" s="31">
        <f t="shared" si="11"/>
        <v>2216.624667</v>
      </c>
      <c r="H21" s="31">
        <f t="shared" si="11"/>
        <v>2083.076289</v>
      </c>
      <c r="I21" s="31">
        <f t="shared" si="11"/>
        <v>2074.955329</v>
      </c>
      <c r="J21" s="31">
        <f t="shared" si="11"/>
        <v>2067.240418</v>
      </c>
      <c r="K21" s="31">
        <f t="shared" si="11"/>
        <v>2059.911252</v>
      </c>
      <c r="L21" s="31">
        <f t="shared" si="11"/>
        <v>2052.948545</v>
      </c>
      <c r="M21" s="31">
        <f t="shared" si="11"/>
        <v>2046.333973</v>
      </c>
      <c r="N21" s="31">
        <f>(((((((((((B21)+(C21))+(D21))+(E21))+(F21))+(G21))+(H21))+(I21))+(J21))+(K21))+(L21))+(M21)</f>
        <v>25516.55796</v>
      </c>
      <c r="O21" s="31">
        <f>SUM(O16:O20)</f>
        <v>19492.47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40" t="s">
        <v>22</v>
      </c>
      <c r="B22" s="41"/>
      <c r="C22" s="34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36" t="s">
        <v>23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4">
        <f t="shared" ref="N23:N28" si="13">SUM(B23:M23)</f>
        <v>0</v>
      </c>
      <c r="O23" s="2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38" t="s">
        <v>24</v>
      </c>
      <c r="B24" s="42">
        <f t="shared" ref="B24:M24" si="12">B7*0.94*6</f>
        <v>1635.6</v>
      </c>
      <c r="C24" s="42">
        <f t="shared" si="12"/>
        <v>1666.62</v>
      </c>
      <c r="D24" s="42">
        <f t="shared" si="12"/>
        <v>1724.289</v>
      </c>
      <c r="E24" s="42">
        <f t="shared" si="12"/>
        <v>1779.07455</v>
      </c>
      <c r="F24" s="42">
        <f t="shared" si="12"/>
        <v>1859.320823</v>
      </c>
      <c r="G24" s="42">
        <f t="shared" si="12"/>
        <v>1879.154781</v>
      </c>
      <c r="H24" s="42">
        <f t="shared" si="12"/>
        <v>1869.797042</v>
      </c>
      <c r="I24" s="42">
        <f t="shared" si="12"/>
        <v>1860.90719</v>
      </c>
      <c r="J24" s="42">
        <f t="shared" si="12"/>
        <v>1852.461831</v>
      </c>
      <c r="K24" s="42">
        <f t="shared" si="12"/>
        <v>1844.438739</v>
      </c>
      <c r="L24" s="42">
        <f t="shared" si="12"/>
        <v>1836.816802</v>
      </c>
      <c r="M24" s="42">
        <f t="shared" si="12"/>
        <v>1829.575962</v>
      </c>
      <c r="N24" s="24">
        <f t="shared" si="13"/>
        <v>21638.05672</v>
      </c>
      <c r="O24" s="25">
        <v>16705.7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43" t="s">
        <v>25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4">
        <f t="shared" si="13"/>
        <v>0</v>
      </c>
      <c r="O25" s="2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43" t="s">
        <v>26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4">
        <f t="shared" si="13"/>
        <v>0</v>
      </c>
      <c r="O26" s="21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44" t="s">
        <v>27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24">
        <f t="shared" si="13"/>
        <v>0</v>
      </c>
      <c r="O27" s="2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36" t="s">
        <v>28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4">
        <f t="shared" si="13"/>
        <v>0</v>
      </c>
      <c r="O28" s="2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40" t="s">
        <v>29</v>
      </c>
      <c r="B29" s="31">
        <f t="shared" ref="B29:M29" si="14">SUM(B23:B28)</f>
        <v>1635.6</v>
      </c>
      <c r="C29" s="31">
        <f t="shared" si="14"/>
        <v>1666.62</v>
      </c>
      <c r="D29" s="31">
        <f t="shared" si="14"/>
        <v>1724.289</v>
      </c>
      <c r="E29" s="31">
        <f t="shared" si="14"/>
        <v>1779.07455</v>
      </c>
      <c r="F29" s="31">
        <f t="shared" si="14"/>
        <v>1859.320823</v>
      </c>
      <c r="G29" s="31">
        <f t="shared" si="14"/>
        <v>1879.154781</v>
      </c>
      <c r="H29" s="31">
        <f t="shared" si="14"/>
        <v>1869.797042</v>
      </c>
      <c r="I29" s="31">
        <f t="shared" si="14"/>
        <v>1860.90719</v>
      </c>
      <c r="J29" s="31">
        <f t="shared" si="14"/>
        <v>1852.461831</v>
      </c>
      <c r="K29" s="31">
        <f t="shared" si="14"/>
        <v>1844.438739</v>
      </c>
      <c r="L29" s="31">
        <f t="shared" si="14"/>
        <v>1836.816802</v>
      </c>
      <c r="M29" s="31">
        <f t="shared" si="14"/>
        <v>1829.575962</v>
      </c>
      <c r="N29" s="31">
        <f>(((((((((((B29)+(C29))+(D29))+(E29))+(F29))+(G29))+(H29))+(I29))+(J29))+(K29))+(L29))+(M29)</f>
        <v>21638.05672</v>
      </c>
      <c r="O29" s="31">
        <f>SUM(O23:O28)</f>
        <v>16705.7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19" t="s">
        <v>30</v>
      </c>
      <c r="B30" s="45">
        <f t="shared" ref="B30:M30" si="15">B14+B21+B29</f>
        <v>39170.6152</v>
      </c>
      <c r="C30" s="45">
        <f t="shared" si="15"/>
        <v>39904.02342</v>
      </c>
      <c r="D30" s="45">
        <f t="shared" si="15"/>
        <v>41392.49597</v>
      </c>
      <c r="E30" s="45">
        <f t="shared" si="15"/>
        <v>42687.7949</v>
      </c>
      <c r="F30" s="45">
        <f t="shared" si="15"/>
        <v>44710.06362</v>
      </c>
      <c r="G30" s="45">
        <f t="shared" si="15"/>
        <v>44928.99942</v>
      </c>
      <c r="H30" s="45">
        <f t="shared" si="15"/>
        <v>44582.75368</v>
      </c>
      <c r="I30" s="45">
        <f t="shared" si="15"/>
        <v>44372.57023</v>
      </c>
      <c r="J30" s="45">
        <f t="shared" si="15"/>
        <v>44172.89596</v>
      </c>
      <c r="K30" s="45">
        <f t="shared" si="15"/>
        <v>43983.20539</v>
      </c>
      <c r="L30" s="45">
        <f t="shared" si="15"/>
        <v>43802.99936</v>
      </c>
      <c r="M30" s="45">
        <f t="shared" si="15"/>
        <v>43631.80362</v>
      </c>
      <c r="N30" s="31">
        <f>SUM(B30:M30)</f>
        <v>517340.2208</v>
      </c>
      <c r="O30" s="31">
        <f>O14+O21+O29</f>
        <v>437604.41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5"/>
      <c r="B31" s="41"/>
      <c r="C31" s="4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19" t="s">
        <v>31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40" t="s">
        <v>32</v>
      </c>
      <c r="B33" s="41"/>
      <c r="C33" s="34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46" t="s">
        <v>33</v>
      </c>
      <c r="B34" s="25">
        <v>400.0</v>
      </c>
      <c r="C34" s="24">
        <f t="shared" ref="C34:M34" si="16">B34</f>
        <v>400</v>
      </c>
      <c r="D34" s="24">
        <f t="shared" si="16"/>
        <v>400</v>
      </c>
      <c r="E34" s="24">
        <f t="shared" si="16"/>
        <v>400</v>
      </c>
      <c r="F34" s="24">
        <f t="shared" si="16"/>
        <v>400</v>
      </c>
      <c r="G34" s="24">
        <f t="shared" si="16"/>
        <v>400</v>
      </c>
      <c r="H34" s="24">
        <f t="shared" si="16"/>
        <v>400</v>
      </c>
      <c r="I34" s="24">
        <f t="shared" si="16"/>
        <v>400</v>
      </c>
      <c r="J34" s="24">
        <f t="shared" si="16"/>
        <v>400</v>
      </c>
      <c r="K34" s="24">
        <f t="shared" si="16"/>
        <v>400</v>
      </c>
      <c r="L34" s="24">
        <f t="shared" si="16"/>
        <v>400</v>
      </c>
      <c r="M34" s="24">
        <f t="shared" si="16"/>
        <v>400</v>
      </c>
      <c r="N34" s="24">
        <f t="shared" ref="N34:N46" si="19">(((((((((((B34)+(C34))+(D34))+(E34))+(F34))+(G34))+(H34))+(I34))+(J34))+(K34))+(L34))+(M34)</f>
        <v>4800</v>
      </c>
      <c r="O34" s="25">
        <v>4600.0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46" t="s">
        <v>34</v>
      </c>
      <c r="B35" s="24">
        <v>0.0</v>
      </c>
      <c r="C35" s="24">
        <v>0.0</v>
      </c>
      <c r="D35" s="24">
        <v>100.0</v>
      </c>
      <c r="E35" s="24">
        <v>0.0</v>
      </c>
      <c r="F35" s="24">
        <f t="shared" ref="F35:G35" si="17">0</f>
        <v>0</v>
      </c>
      <c r="G35" s="24">
        <f t="shared" si="17"/>
        <v>0</v>
      </c>
      <c r="H35" s="24">
        <v>100.0</v>
      </c>
      <c r="I35" s="24">
        <f t="shared" ref="I35:K35" si="18">0</f>
        <v>0</v>
      </c>
      <c r="J35" s="24">
        <f t="shared" si="18"/>
        <v>0</v>
      </c>
      <c r="K35" s="24">
        <f t="shared" si="18"/>
        <v>0</v>
      </c>
      <c r="L35" s="24">
        <v>100.0</v>
      </c>
      <c r="M35" s="24">
        <f>0</f>
        <v>0</v>
      </c>
      <c r="N35" s="24">
        <f t="shared" si="19"/>
        <v>300</v>
      </c>
      <c r="O35" s="25">
        <v>66.29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46" t="s">
        <v>35</v>
      </c>
      <c r="B36" s="25">
        <v>100.0</v>
      </c>
      <c r="C36" s="24">
        <f t="shared" ref="C36:M36" si="20">B36</f>
        <v>100</v>
      </c>
      <c r="D36" s="24">
        <f t="shared" si="20"/>
        <v>100</v>
      </c>
      <c r="E36" s="24">
        <f t="shared" si="20"/>
        <v>100</v>
      </c>
      <c r="F36" s="24">
        <f t="shared" si="20"/>
        <v>100</v>
      </c>
      <c r="G36" s="24">
        <f t="shared" si="20"/>
        <v>100</v>
      </c>
      <c r="H36" s="24">
        <f t="shared" si="20"/>
        <v>100</v>
      </c>
      <c r="I36" s="24">
        <f t="shared" si="20"/>
        <v>100</v>
      </c>
      <c r="J36" s="24">
        <f t="shared" si="20"/>
        <v>100</v>
      </c>
      <c r="K36" s="24">
        <f t="shared" si="20"/>
        <v>100</v>
      </c>
      <c r="L36" s="24">
        <f t="shared" si="20"/>
        <v>100</v>
      </c>
      <c r="M36" s="24">
        <f t="shared" si="20"/>
        <v>100</v>
      </c>
      <c r="N36" s="24">
        <f t="shared" si="19"/>
        <v>1200</v>
      </c>
      <c r="O36" s="25">
        <v>600.0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46" t="s">
        <v>36</v>
      </c>
      <c r="B37" s="25">
        <v>450.0</v>
      </c>
      <c r="C37" s="24">
        <f t="shared" ref="C37:M37" si="21">B37</f>
        <v>450</v>
      </c>
      <c r="D37" s="24">
        <f t="shared" si="21"/>
        <v>450</v>
      </c>
      <c r="E37" s="24">
        <f t="shared" si="21"/>
        <v>450</v>
      </c>
      <c r="F37" s="24">
        <f t="shared" si="21"/>
        <v>450</v>
      </c>
      <c r="G37" s="24">
        <f t="shared" si="21"/>
        <v>450</v>
      </c>
      <c r="H37" s="24">
        <f t="shared" si="21"/>
        <v>450</v>
      </c>
      <c r="I37" s="24">
        <f t="shared" si="21"/>
        <v>450</v>
      </c>
      <c r="J37" s="24">
        <f t="shared" si="21"/>
        <v>450</v>
      </c>
      <c r="K37" s="24">
        <f t="shared" si="21"/>
        <v>450</v>
      </c>
      <c r="L37" s="24">
        <f t="shared" si="21"/>
        <v>450</v>
      </c>
      <c r="M37" s="24">
        <f t="shared" si="21"/>
        <v>450</v>
      </c>
      <c r="N37" s="24">
        <f t="shared" si="19"/>
        <v>5400</v>
      </c>
      <c r="O37" s="25">
        <v>5850.0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46" t="s">
        <v>37</v>
      </c>
      <c r="B38" s="24">
        <v>0.0</v>
      </c>
      <c r="C38" s="24">
        <f t="shared" ref="C38:M38" si="22">B38</f>
        <v>0</v>
      </c>
      <c r="D38" s="24">
        <f t="shared" si="22"/>
        <v>0</v>
      </c>
      <c r="E38" s="24">
        <f t="shared" si="22"/>
        <v>0</v>
      </c>
      <c r="F38" s="24">
        <f t="shared" si="22"/>
        <v>0</v>
      </c>
      <c r="G38" s="24">
        <f t="shared" si="22"/>
        <v>0</v>
      </c>
      <c r="H38" s="24">
        <f t="shared" si="22"/>
        <v>0</v>
      </c>
      <c r="I38" s="24">
        <f t="shared" si="22"/>
        <v>0</v>
      </c>
      <c r="J38" s="24">
        <f t="shared" si="22"/>
        <v>0</v>
      </c>
      <c r="K38" s="24">
        <f t="shared" si="22"/>
        <v>0</v>
      </c>
      <c r="L38" s="24">
        <f t="shared" si="22"/>
        <v>0</v>
      </c>
      <c r="M38" s="24">
        <f t="shared" si="22"/>
        <v>0</v>
      </c>
      <c r="N38" s="24">
        <f t="shared" si="19"/>
        <v>0</v>
      </c>
      <c r="O38" s="25">
        <v>14736.05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40" t="s">
        <v>32</v>
      </c>
      <c r="B39" s="31">
        <f t="shared" ref="B39:M39" si="23">SUM(B34:B38)</f>
        <v>950</v>
      </c>
      <c r="C39" s="31">
        <f t="shared" si="23"/>
        <v>950</v>
      </c>
      <c r="D39" s="31">
        <f t="shared" si="23"/>
        <v>1050</v>
      </c>
      <c r="E39" s="31">
        <f t="shared" si="23"/>
        <v>950</v>
      </c>
      <c r="F39" s="31">
        <f t="shared" si="23"/>
        <v>950</v>
      </c>
      <c r="G39" s="31">
        <f t="shared" si="23"/>
        <v>950</v>
      </c>
      <c r="H39" s="31">
        <f t="shared" si="23"/>
        <v>1050</v>
      </c>
      <c r="I39" s="31">
        <f t="shared" si="23"/>
        <v>950</v>
      </c>
      <c r="J39" s="31">
        <f t="shared" si="23"/>
        <v>950</v>
      </c>
      <c r="K39" s="31">
        <f t="shared" si="23"/>
        <v>950</v>
      </c>
      <c r="L39" s="31">
        <f t="shared" si="23"/>
        <v>1050</v>
      </c>
      <c r="M39" s="31">
        <f t="shared" si="23"/>
        <v>950</v>
      </c>
      <c r="N39" s="31">
        <f t="shared" si="19"/>
        <v>11700</v>
      </c>
      <c r="O39" s="31">
        <f>SUM(O34:O38)</f>
        <v>25852.34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40" t="s">
        <v>38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4">
        <f t="shared" si="19"/>
        <v>0</v>
      </c>
      <c r="O40" s="2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47" t="s">
        <v>39</v>
      </c>
      <c r="B41" s="25">
        <v>350.0</v>
      </c>
      <c r="C41" s="25">
        <v>350.0</v>
      </c>
      <c r="D41" s="25">
        <v>350.0</v>
      </c>
      <c r="E41" s="25">
        <v>350.0</v>
      </c>
      <c r="F41" s="25">
        <v>350.0</v>
      </c>
      <c r="G41" s="25">
        <v>350.0</v>
      </c>
      <c r="H41" s="25">
        <v>350.0</v>
      </c>
      <c r="I41" s="25">
        <v>350.0</v>
      </c>
      <c r="J41" s="25">
        <v>350.0</v>
      </c>
      <c r="K41" s="25">
        <v>350.0</v>
      </c>
      <c r="L41" s="25">
        <v>350.0</v>
      </c>
      <c r="M41" s="25">
        <v>350.0</v>
      </c>
      <c r="N41" s="24">
        <f t="shared" si="19"/>
        <v>4200</v>
      </c>
      <c r="O41" s="25">
        <v>3610.45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47" t="s">
        <v>40</v>
      </c>
      <c r="B42" s="24">
        <f t="shared" ref="B42:M42" si="24">IF(B30*0.04&lt;1800,1800,B30*0.04)</f>
        <v>1800</v>
      </c>
      <c r="C42" s="24">
        <f t="shared" si="24"/>
        <v>1800</v>
      </c>
      <c r="D42" s="24">
        <f t="shared" si="24"/>
        <v>1800</v>
      </c>
      <c r="E42" s="24">
        <f t="shared" si="24"/>
        <v>1800</v>
      </c>
      <c r="F42" s="24">
        <f t="shared" si="24"/>
        <v>1800</v>
      </c>
      <c r="G42" s="24">
        <f t="shared" si="24"/>
        <v>1800</v>
      </c>
      <c r="H42" s="24">
        <f t="shared" si="24"/>
        <v>1800</v>
      </c>
      <c r="I42" s="24">
        <f t="shared" si="24"/>
        <v>1800</v>
      </c>
      <c r="J42" s="24">
        <f t="shared" si="24"/>
        <v>1800</v>
      </c>
      <c r="K42" s="24">
        <f t="shared" si="24"/>
        <v>1800</v>
      </c>
      <c r="L42" s="24">
        <f t="shared" si="24"/>
        <v>1800</v>
      </c>
      <c r="M42" s="24">
        <f t="shared" si="24"/>
        <v>1800</v>
      </c>
      <c r="N42" s="24">
        <f t="shared" si="19"/>
        <v>21600</v>
      </c>
      <c r="O42" s="25">
        <v>21600.0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47" t="s">
        <v>41</v>
      </c>
      <c r="B43" s="25">
        <v>150.0</v>
      </c>
      <c r="C43" s="25">
        <v>150.0</v>
      </c>
      <c r="D43" s="25">
        <v>150.0</v>
      </c>
      <c r="E43" s="25">
        <v>150.0</v>
      </c>
      <c r="F43" s="25">
        <v>150.0</v>
      </c>
      <c r="G43" s="25">
        <v>150.0</v>
      </c>
      <c r="H43" s="25">
        <v>150.0</v>
      </c>
      <c r="I43" s="25">
        <v>150.0</v>
      </c>
      <c r="J43" s="25">
        <v>150.0</v>
      </c>
      <c r="K43" s="25">
        <v>150.0</v>
      </c>
      <c r="L43" s="25">
        <v>150.0</v>
      </c>
      <c r="M43" s="25">
        <v>150.0</v>
      </c>
      <c r="N43" s="24">
        <f t="shared" si="19"/>
        <v>1800</v>
      </c>
      <c r="O43" s="2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48" t="s">
        <v>42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5">
        <v>0.0</v>
      </c>
      <c r="J44" s="24">
        <v>0.0</v>
      </c>
      <c r="K44" s="24">
        <v>0.0</v>
      </c>
      <c r="L44" s="24">
        <v>0.0</v>
      </c>
      <c r="M44" s="24">
        <v>0.0</v>
      </c>
      <c r="N44" s="24">
        <f t="shared" si="19"/>
        <v>0</v>
      </c>
      <c r="O44" s="25">
        <v>862.55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47" t="s">
        <v>43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4">
        <v>0.0</v>
      </c>
      <c r="L45" s="24">
        <v>0.0</v>
      </c>
      <c r="M45" s="24">
        <v>0.0</v>
      </c>
      <c r="N45" s="24">
        <f t="shared" si="19"/>
        <v>0</v>
      </c>
      <c r="O45" s="2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0" t="s">
        <v>44</v>
      </c>
      <c r="B46" s="31">
        <f t="shared" ref="B46:M46" si="25">SUM(B41:B45)</f>
        <v>2300</v>
      </c>
      <c r="C46" s="31">
        <f t="shared" si="25"/>
        <v>2300</v>
      </c>
      <c r="D46" s="31">
        <f t="shared" si="25"/>
        <v>2300</v>
      </c>
      <c r="E46" s="31">
        <f t="shared" si="25"/>
        <v>2300</v>
      </c>
      <c r="F46" s="31">
        <f t="shared" si="25"/>
        <v>2300</v>
      </c>
      <c r="G46" s="31">
        <f t="shared" si="25"/>
        <v>2300</v>
      </c>
      <c r="H46" s="31">
        <f t="shared" si="25"/>
        <v>2300</v>
      </c>
      <c r="I46" s="31">
        <f t="shared" si="25"/>
        <v>2300</v>
      </c>
      <c r="J46" s="31">
        <f t="shared" si="25"/>
        <v>2300</v>
      </c>
      <c r="K46" s="31">
        <f t="shared" si="25"/>
        <v>2300</v>
      </c>
      <c r="L46" s="31">
        <f t="shared" si="25"/>
        <v>2300</v>
      </c>
      <c r="M46" s="31">
        <f t="shared" si="25"/>
        <v>2300</v>
      </c>
      <c r="N46" s="31">
        <f t="shared" si="19"/>
        <v>27600</v>
      </c>
      <c r="O46" s="31">
        <f>SUM(O41:O45)</f>
        <v>26073</v>
      </c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ht="14.25" customHeight="1">
      <c r="A47" s="40" t="s">
        <v>45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47" t="s">
        <v>46</v>
      </c>
      <c r="B48" s="24">
        <f t="shared" ref="B48:M48" si="26">B23*0.4</f>
        <v>0</v>
      </c>
      <c r="C48" s="24">
        <f t="shared" si="26"/>
        <v>0</v>
      </c>
      <c r="D48" s="24">
        <f t="shared" si="26"/>
        <v>0</v>
      </c>
      <c r="E48" s="24">
        <f t="shared" si="26"/>
        <v>0</v>
      </c>
      <c r="F48" s="24">
        <f t="shared" si="26"/>
        <v>0</v>
      </c>
      <c r="G48" s="24">
        <f t="shared" si="26"/>
        <v>0</v>
      </c>
      <c r="H48" s="24">
        <f t="shared" si="26"/>
        <v>0</v>
      </c>
      <c r="I48" s="24">
        <f t="shared" si="26"/>
        <v>0</v>
      </c>
      <c r="J48" s="24">
        <f t="shared" si="26"/>
        <v>0</v>
      </c>
      <c r="K48" s="24">
        <f t="shared" si="26"/>
        <v>0</v>
      </c>
      <c r="L48" s="24">
        <f t="shared" si="26"/>
        <v>0</v>
      </c>
      <c r="M48" s="24">
        <f t="shared" si="26"/>
        <v>0</v>
      </c>
      <c r="N48" s="24">
        <f t="shared" ref="N48:N54" si="27">(((((((((((B48)+(C48))+(D48))+(E48))+(F48))+(G48))+(H48))+(I48))+(J48))+(K48))+(L48))+(M48)</f>
        <v>0</v>
      </c>
      <c r="O48" s="2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47" t="s">
        <v>47</v>
      </c>
      <c r="B49" s="25">
        <v>200.0</v>
      </c>
      <c r="C49" s="25">
        <v>200.0</v>
      </c>
      <c r="D49" s="25">
        <v>200.0</v>
      </c>
      <c r="E49" s="25">
        <v>200.0</v>
      </c>
      <c r="F49" s="25">
        <v>200.0</v>
      </c>
      <c r="G49" s="25">
        <v>200.0</v>
      </c>
      <c r="H49" s="25">
        <v>200.0</v>
      </c>
      <c r="I49" s="25">
        <v>200.0</v>
      </c>
      <c r="J49" s="25">
        <v>200.0</v>
      </c>
      <c r="K49" s="25">
        <v>200.0</v>
      </c>
      <c r="L49" s="25">
        <v>200.0</v>
      </c>
      <c r="M49" s="25">
        <v>200.0</v>
      </c>
      <c r="N49" s="24">
        <f t="shared" si="27"/>
        <v>2400</v>
      </c>
      <c r="O49" s="25">
        <v>3411.93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47" t="s">
        <v>48</v>
      </c>
      <c r="B50" s="25">
        <v>250.0</v>
      </c>
      <c r="C50" s="25">
        <v>250.0</v>
      </c>
      <c r="D50" s="25">
        <v>250.0</v>
      </c>
      <c r="E50" s="25">
        <v>250.0</v>
      </c>
      <c r="F50" s="25">
        <v>250.0</v>
      </c>
      <c r="G50" s="25">
        <v>250.0</v>
      </c>
      <c r="H50" s="25">
        <v>250.0</v>
      </c>
      <c r="I50" s="25">
        <v>250.0</v>
      </c>
      <c r="J50" s="25">
        <v>250.0</v>
      </c>
      <c r="K50" s="25">
        <v>250.0</v>
      </c>
      <c r="L50" s="25">
        <v>250.0</v>
      </c>
      <c r="M50" s="25">
        <v>250.0</v>
      </c>
      <c r="N50" s="24">
        <f t="shared" si="27"/>
        <v>3000</v>
      </c>
      <c r="O50" s="25">
        <f>774.59+1943.32</f>
        <v>2717.91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48" t="s">
        <v>49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24">
        <f t="shared" si="27"/>
        <v>0</v>
      </c>
      <c r="O51" s="25">
        <v>180.01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48" t="s">
        <v>50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24">
        <f t="shared" si="27"/>
        <v>0</v>
      </c>
      <c r="O52" s="2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48" t="s">
        <v>50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24">
        <f t="shared" si="27"/>
        <v>0</v>
      </c>
      <c r="O53" s="2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40" t="s">
        <v>51</v>
      </c>
      <c r="B54" s="31">
        <f t="shared" ref="B54:M54" si="28">SUM(B48:B53)</f>
        <v>450</v>
      </c>
      <c r="C54" s="31">
        <f t="shared" si="28"/>
        <v>450</v>
      </c>
      <c r="D54" s="31">
        <f t="shared" si="28"/>
        <v>450</v>
      </c>
      <c r="E54" s="31">
        <f t="shared" si="28"/>
        <v>450</v>
      </c>
      <c r="F54" s="31">
        <f t="shared" si="28"/>
        <v>450</v>
      </c>
      <c r="G54" s="31">
        <f t="shared" si="28"/>
        <v>450</v>
      </c>
      <c r="H54" s="31">
        <f t="shared" si="28"/>
        <v>450</v>
      </c>
      <c r="I54" s="31">
        <f t="shared" si="28"/>
        <v>450</v>
      </c>
      <c r="J54" s="31">
        <f t="shared" si="28"/>
        <v>450</v>
      </c>
      <c r="K54" s="31">
        <f t="shared" si="28"/>
        <v>450</v>
      </c>
      <c r="L54" s="31">
        <f t="shared" si="28"/>
        <v>450</v>
      </c>
      <c r="M54" s="31">
        <f t="shared" si="28"/>
        <v>450</v>
      </c>
      <c r="N54" s="31">
        <f t="shared" si="27"/>
        <v>5400</v>
      </c>
      <c r="O54" s="31">
        <f>SUM(O48:O53)</f>
        <v>6309.85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40" t="s">
        <v>52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47" t="s">
        <v>53</v>
      </c>
      <c r="B56" s="25">
        <v>50.0</v>
      </c>
      <c r="C56" s="25">
        <v>50.0</v>
      </c>
      <c r="D56" s="25">
        <v>50.0</v>
      </c>
      <c r="E56" s="25">
        <v>50.0</v>
      </c>
      <c r="F56" s="25">
        <v>50.0</v>
      </c>
      <c r="G56" s="25">
        <v>50.0</v>
      </c>
      <c r="H56" s="25">
        <v>50.0</v>
      </c>
      <c r="I56" s="25">
        <v>50.0</v>
      </c>
      <c r="J56" s="25">
        <v>50.0</v>
      </c>
      <c r="K56" s="25">
        <v>50.0</v>
      </c>
      <c r="L56" s="25">
        <v>50.0</v>
      </c>
      <c r="M56" s="25">
        <v>50.0</v>
      </c>
      <c r="N56" s="24">
        <f t="shared" ref="N56:N57" si="29">(((((((((((B56)+(C56))+(D56))+(E56))+(F56))+(G56))+(H56))+(I56))+(J56))+(K56))+(L56))+(M56)</f>
        <v>600</v>
      </c>
      <c r="O56" s="25">
        <v>253.0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48" t="s">
        <v>54</v>
      </c>
      <c r="B57" s="25">
        <v>150.0</v>
      </c>
      <c r="C57" s="25">
        <v>150.0</v>
      </c>
      <c r="D57" s="25">
        <v>150.0</v>
      </c>
      <c r="E57" s="25">
        <v>150.0</v>
      </c>
      <c r="F57" s="25">
        <v>150.0</v>
      </c>
      <c r="G57" s="25">
        <v>150.0</v>
      </c>
      <c r="H57" s="25">
        <v>150.0</v>
      </c>
      <c r="I57" s="25">
        <v>150.0</v>
      </c>
      <c r="J57" s="25">
        <v>150.0</v>
      </c>
      <c r="K57" s="25">
        <v>150.0</v>
      </c>
      <c r="L57" s="25">
        <v>150.0</v>
      </c>
      <c r="M57" s="25">
        <v>150.0</v>
      </c>
      <c r="N57" s="24">
        <f t="shared" si="29"/>
        <v>1800</v>
      </c>
      <c r="O57" s="25">
        <f>1654.1+196.14</f>
        <v>1850.24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47" t="s">
        <v>55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5">
        <v>1649.0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47" t="s">
        <v>56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47" t="s">
        <v>57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47" t="s">
        <v>58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47" t="s">
        <v>59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4">
        <f t="shared" ref="N62:N63" si="30">(((((((((((B62)+(C62))+(D62))+(E62))+(F62))+(G62))+(H62))+(I62))+(J62))+(K62))+(L62))+(M62)</f>
        <v>0</v>
      </c>
      <c r="O62" s="25">
        <v>48.51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47" t="s">
        <v>60</v>
      </c>
      <c r="B63" s="25">
        <v>50.0</v>
      </c>
      <c r="C63" s="25">
        <v>50.0</v>
      </c>
      <c r="D63" s="25">
        <v>50.0</v>
      </c>
      <c r="E63" s="25">
        <v>50.0</v>
      </c>
      <c r="F63" s="25">
        <v>50.0</v>
      </c>
      <c r="G63" s="25">
        <v>50.0</v>
      </c>
      <c r="H63" s="25">
        <v>50.0</v>
      </c>
      <c r="I63" s="25">
        <v>50.0</v>
      </c>
      <c r="J63" s="25">
        <v>50.0</v>
      </c>
      <c r="K63" s="25">
        <v>50.0</v>
      </c>
      <c r="L63" s="25">
        <v>50.0</v>
      </c>
      <c r="M63" s="25">
        <v>50.0</v>
      </c>
      <c r="N63" s="24">
        <f t="shared" si="30"/>
        <v>600</v>
      </c>
      <c r="O63" s="2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47" t="s">
        <v>61</v>
      </c>
      <c r="B64" s="41"/>
      <c r="D64" s="41"/>
      <c r="E64" s="41"/>
      <c r="F64" s="41"/>
      <c r="G64" s="41"/>
      <c r="H64" s="41"/>
      <c r="I64" s="41"/>
      <c r="J64" s="41"/>
      <c r="K64" s="41"/>
      <c r="L64" s="41"/>
      <c r="M64" s="21"/>
      <c r="N64" s="21"/>
      <c r="O64" s="2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40" t="s">
        <v>62</v>
      </c>
      <c r="B65" s="31">
        <f t="shared" ref="B65:M65" si="31">SUM(B56:B64)</f>
        <v>250</v>
      </c>
      <c r="C65" s="31">
        <f t="shared" si="31"/>
        <v>250</v>
      </c>
      <c r="D65" s="31">
        <f t="shared" si="31"/>
        <v>250</v>
      </c>
      <c r="E65" s="31">
        <f t="shared" si="31"/>
        <v>250</v>
      </c>
      <c r="F65" s="31">
        <f t="shared" si="31"/>
        <v>250</v>
      </c>
      <c r="G65" s="31">
        <f t="shared" si="31"/>
        <v>250</v>
      </c>
      <c r="H65" s="31">
        <f t="shared" si="31"/>
        <v>250</v>
      </c>
      <c r="I65" s="31">
        <f t="shared" si="31"/>
        <v>250</v>
      </c>
      <c r="J65" s="31">
        <f t="shared" si="31"/>
        <v>250</v>
      </c>
      <c r="K65" s="31">
        <f t="shared" si="31"/>
        <v>250</v>
      </c>
      <c r="L65" s="31">
        <f t="shared" si="31"/>
        <v>250</v>
      </c>
      <c r="M65" s="31">
        <f t="shared" si="31"/>
        <v>250</v>
      </c>
      <c r="N65" s="31">
        <f>(((((((((((B65)+(C65))+(D65))+(E65))+(F65))+(G65))+(H65))+(I65))+(J65))+(K65))+(L65))+(M65)</f>
        <v>3000</v>
      </c>
      <c r="O65" s="31">
        <f>SUM(O56:O64)</f>
        <v>3800.75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40" t="s">
        <v>63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47" t="s">
        <v>64</v>
      </c>
      <c r="B67" s="24">
        <v>0.0</v>
      </c>
      <c r="C67" s="24">
        <f t="shared" ref="C67:M67" si="32">B67</f>
        <v>0</v>
      </c>
      <c r="D67" s="24">
        <f t="shared" si="32"/>
        <v>0</v>
      </c>
      <c r="E67" s="24">
        <f t="shared" si="32"/>
        <v>0</v>
      </c>
      <c r="F67" s="24">
        <f t="shared" si="32"/>
        <v>0</v>
      </c>
      <c r="G67" s="24">
        <f t="shared" si="32"/>
        <v>0</v>
      </c>
      <c r="H67" s="24">
        <f t="shared" si="32"/>
        <v>0</v>
      </c>
      <c r="I67" s="24">
        <f t="shared" si="32"/>
        <v>0</v>
      </c>
      <c r="J67" s="24">
        <f t="shared" si="32"/>
        <v>0</v>
      </c>
      <c r="K67" s="24">
        <f t="shared" si="32"/>
        <v>0</v>
      </c>
      <c r="L67" s="24">
        <f t="shared" si="32"/>
        <v>0</v>
      </c>
      <c r="M67" s="24">
        <f t="shared" si="32"/>
        <v>0</v>
      </c>
      <c r="N67" s="24">
        <f>(((((((((((B67)+(C67))+(D67))+(E67))+(F67))+(G67))+(H67))+(I67))+(J67))+(K67))+(L67))+(M67)</f>
        <v>0</v>
      </c>
      <c r="O67" s="25">
        <v>209.54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47" t="s">
        <v>65</v>
      </c>
      <c r="B68" s="24">
        <f t="shared" ref="B68:M68" si="33">B30*0.027</f>
        <v>1057.60661</v>
      </c>
      <c r="C68" s="24">
        <f t="shared" si="33"/>
        <v>1077.408632</v>
      </c>
      <c r="D68" s="24">
        <f t="shared" si="33"/>
        <v>1117.597391</v>
      </c>
      <c r="E68" s="24">
        <f t="shared" si="33"/>
        <v>1152.570462</v>
      </c>
      <c r="F68" s="24">
        <f t="shared" si="33"/>
        <v>1207.171718</v>
      </c>
      <c r="G68" s="24">
        <f t="shared" si="33"/>
        <v>1213.082984</v>
      </c>
      <c r="H68" s="24">
        <f t="shared" si="33"/>
        <v>1203.734349</v>
      </c>
      <c r="I68" s="24">
        <f t="shared" si="33"/>
        <v>1198.059396</v>
      </c>
      <c r="J68" s="24">
        <f t="shared" si="33"/>
        <v>1192.668191</v>
      </c>
      <c r="K68" s="24">
        <f t="shared" si="33"/>
        <v>1187.546546</v>
      </c>
      <c r="L68" s="24">
        <f t="shared" si="33"/>
        <v>1182.680983</v>
      </c>
      <c r="M68" s="24">
        <f t="shared" si="33"/>
        <v>1178.058698</v>
      </c>
      <c r="N68" s="24">
        <f>N30*0.02</f>
        <v>10346.80442</v>
      </c>
      <c r="O68" s="25">
        <v>8880.36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40" t="s">
        <v>66</v>
      </c>
      <c r="B69" s="31">
        <f t="shared" ref="B69:M69" si="34">SUM(B67:B68)</f>
        <v>1057.60661</v>
      </c>
      <c r="C69" s="31">
        <f t="shared" si="34"/>
        <v>1077.408632</v>
      </c>
      <c r="D69" s="31">
        <f t="shared" si="34"/>
        <v>1117.597391</v>
      </c>
      <c r="E69" s="31">
        <f t="shared" si="34"/>
        <v>1152.570462</v>
      </c>
      <c r="F69" s="31">
        <f t="shared" si="34"/>
        <v>1207.171718</v>
      </c>
      <c r="G69" s="31">
        <f t="shared" si="34"/>
        <v>1213.082984</v>
      </c>
      <c r="H69" s="31">
        <f t="shared" si="34"/>
        <v>1203.734349</v>
      </c>
      <c r="I69" s="31">
        <f t="shared" si="34"/>
        <v>1198.059396</v>
      </c>
      <c r="J69" s="31">
        <f t="shared" si="34"/>
        <v>1192.668191</v>
      </c>
      <c r="K69" s="31">
        <f t="shared" si="34"/>
        <v>1187.546546</v>
      </c>
      <c r="L69" s="31">
        <f t="shared" si="34"/>
        <v>1182.680983</v>
      </c>
      <c r="M69" s="31">
        <f t="shared" si="34"/>
        <v>1178.058698</v>
      </c>
      <c r="N69" s="31">
        <f>(((((((((((B69)+(C69))+(D69))+(E69))+(F69))+(G69))+(H69))+(I69))+(J69))+(K69))+(L69))+(M69)</f>
        <v>13968.18596</v>
      </c>
      <c r="O69" s="31">
        <f>SUM(O67:O68)</f>
        <v>9089.9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40" t="s">
        <v>67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47" t="s">
        <v>68</v>
      </c>
      <c r="B71" s="25">
        <v>53.42</v>
      </c>
      <c r="C71" s="25">
        <v>53.42</v>
      </c>
      <c r="D71" s="25">
        <v>53.42</v>
      </c>
      <c r="E71" s="25">
        <v>53.42</v>
      </c>
      <c r="F71" s="25">
        <v>53.42</v>
      </c>
      <c r="G71" s="25">
        <v>53.42</v>
      </c>
      <c r="H71" s="25">
        <v>53.42</v>
      </c>
      <c r="I71" s="25">
        <v>53.42</v>
      </c>
      <c r="J71" s="25">
        <v>53.42</v>
      </c>
      <c r="K71" s="25">
        <v>53.42</v>
      </c>
      <c r="L71" s="25">
        <v>53.42</v>
      </c>
      <c r="M71" s="25">
        <v>53.42</v>
      </c>
      <c r="N71" s="24">
        <f t="shared" ref="N71:N76" si="35">(((((((((((B71)+(C71))+(D71))+(E71))+(F71))+(G71))+(H71))+(I71))+(J71))+(K71))+(L71))+(M71)</f>
        <v>641.04</v>
      </c>
      <c r="O71" s="25">
        <v>634.6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47" t="s">
        <v>69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4">
        <f t="shared" si="35"/>
        <v>0</v>
      </c>
      <c r="O72" s="25">
        <v>450.0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47" t="s">
        <v>70</v>
      </c>
      <c r="B73" s="24">
        <v>80.0</v>
      </c>
      <c r="C73" s="24">
        <v>80.0</v>
      </c>
      <c r="D73" s="24">
        <v>80.0</v>
      </c>
      <c r="E73" s="24">
        <v>80.0</v>
      </c>
      <c r="F73" s="24">
        <v>80.0</v>
      </c>
      <c r="G73" s="24">
        <v>80.0</v>
      </c>
      <c r="H73" s="24">
        <v>80.0</v>
      </c>
      <c r="I73" s="24">
        <v>80.0</v>
      </c>
      <c r="J73" s="24">
        <v>80.0</v>
      </c>
      <c r="K73" s="24">
        <v>80.0</v>
      </c>
      <c r="L73" s="24">
        <v>80.0</v>
      </c>
      <c r="M73" s="24">
        <v>80.0</v>
      </c>
      <c r="N73" s="24">
        <f t="shared" si="35"/>
        <v>960</v>
      </c>
      <c r="O73" s="2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47" t="s">
        <v>71</v>
      </c>
      <c r="B74" s="24">
        <v>63.0</v>
      </c>
      <c r="C74" s="24">
        <v>63.0</v>
      </c>
      <c r="D74" s="24">
        <v>63.0</v>
      </c>
      <c r="E74" s="24">
        <v>63.0</v>
      </c>
      <c r="F74" s="24">
        <v>63.0</v>
      </c>
      <c r="G74" s="24">
        <v>63.0</v>
      </c>
      <c r="H74" s="24">
        <v>63.0</v>
      </c>
      <c r="I74" s="24">
        <v>63.0</v>
      </c>
      <c r="J74" s="24">
        <v>63.0</v>
      </c>
      <c r="K74" s="24">
        <v>63.0</v>
      </c>
      <c r="L74" s="24">
        <v>63.0</v>
      </c>
      <c r="M74" s="24">
        <v>63.0</v>
      </c>
      <c r="N74" s="24">
        <f t="shared" si="35"/>
        <v>756</v>
      </c>
      <c r="O74" s="2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47" t="s">
        <v>72</v>
      </c>
      <c r="B75" s="25">
        <v>392.0</v>
      </c>
      <c r="C75" s="24">
        <f t="shared" ref="C75:M75" si="36">B75</f>
        <v>392</v>
      </c>
      <c r="D75" s="24">
        <f t="shared" si="36"/>
        <v>392</v>
      </c>
      <c r="E75" s="24">
        <f t="shared" si="36"/>
        <v>392</v>
      </c>
      <c r="F75" s="24">
        <f t="shared" si="36"/>
        <v>392</v>
      </c>
      <c r="G75" s="24">
        <f t="shared" si="36"/>
        <v>392</v>
      </c>
      <c r="H75" s="24">
        <f t="shared" si="36"/>
        <v>392</v>
      </c>
      <c r="I75" s="24">
        <f t="shared" si="36"/>
        <v>392</v>
      </c>
      <c r="J75" s="24">
        <f t="shared" si="36"/>
        <v>392</v>
      </c>
      <c r="K75" s="24">
        <f t="shared" si="36"/>
        <v>392</v>
      </c>
      <c r="L75" s="24">
        <f t="shared" si="36"/>
        <v>392</v>
      </c>
      <c r="M75" s="24">
        <f t="shared" si="36"/>
        <v>392</v>
      </c>
      <c r="N75" s="24">
        <f t="shared" si="35"/>
        <v>4704</v>
      </c>
      <c r="O75" s="25">
        <v>3942.56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40" t="s">
        <v>73</v>
      </c>
      <c r="B76" s="31">
        <f t="shared" ref="B76:M76" si="37">SUM(B71:B75)</f>
        <v>588.42</v>
      </c>
      <c r="C76" s="31">
        <f t="shared" si="37"/>
        <v>588.42</v>
      </c>
      <c r="D76" s="31">
        <f t="shared" si="37"/>
        <v>588.42</v>
      </c>
      <c r="E76" s="31">
        <f t="shared" si="37"/>
        <v>588.42</v>
      </c>
      <c r="F76" s="31">
        <f t="shared" si="37"/>
        <v>588.42</v>
      </c>
      <c r="G76" s="31">
        <f t="shared" si="37"/>
        <v>588.42</v>
      </c>
      <c r="H76" s="31">
        <f t="shared" si="37"/>
        <v>588.42</v>
      </c>
      <c r="I76" s="31">
        <f t="shared" si="37"/>
        <v>588.42</v>
      </c>
      <c r="J76" s="31">
        <f t="shared" si="37"/>
        <v>588.42</v>
      </c>
      <c r="K76" s="31">
        <f t="shared" si="37"/>
        <v>588.42</v>
      </c>
      <c r="L76" s="31">
        <f t="shared" si="37"/>
        <v>588.42</v>
      </c>
      <c r="M76" s="31">
        <f t="shared" si="37"/>
        <v>588.42</v>
      </c>
      <c r="N76" s="31">
        <f t="shared" si="35"/>
        <v>7061.04</v>
      </c>
      <c r="O76" s="31">
        <f>SUM(O71:O75)</f>
        <v>5027.16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32" t="s">
        <v>74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47" t="s">
        <v>75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4">
        <f t="shared" ref="N78:N85" si="38">(((((((((((B78)+(C78))+(D78))+(E78))+(F78))+(G78))+(H78))+(I78))+(J78))+(K78))+(L78))+(M78)</f>
        <v>0</v>
      </c>
      <c r="O78" s="21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47" t="s">
        <v>76</v>
      </c>
      <c r="B79" s="25">
        <v>10.0</v>
      </c>
      <c r="C79" s="25">
        <v>10.0</v>
      </c>
      <c r="D79" s="25">
        <v>10.0</v>
      </c>
      <c r="E79" s="25">
        <v>10.0</v>
      </c>
      <c r="F79" s="25">
        <v>10.0</v>
      </c>
      <c r="G79" s="25">
        <v>10.0</v>
      </c>
      <c r="H79" s="25">
        <v>10.0</v>
      </c>
      <c r="I79" s="25">
        <v>10.0</v>
      </c>
      <c r="J79" s="25">
        <v>10.0</v>
      </c>
      <c r="K79" s="25">
        <v>10.0</v>
      </c>
      <c r="L79" s="25">
        <v>10.0</v>
      </c>
      <c r="M79" s="25">
        <v>10.0</v>
      </c>
      <c r="N79" s="24">
        <f t="shared" si="38"/>
        <v>120</v>
      </c>
      <c r="O79" s="25">
        <v>30.0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47" t="s">
        <v>77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4">
        <f t="shared" si="38"/>
        <v>0</v>
      </c>
      <c r="O80" s="2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47" t="s">
        <v>78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4">
        <f t="shared" si="38"/>
        <v>0</v>
      </c>
      <c r="O81" s="2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47" t="s">
        <v>79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4">
        <f t="shared" si="38"/>
        <v>0</v>
      </c>
      <c r="O82" s="21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47" t="s">
        <v>80</v>
      </c>
      <c r="B83" s="25">
        <v>950.0</v>
      </c>
      <c r="C83" s="24">
        <f t="shared" ref="C83:M83" si="39">B83</f>
        <v>950</v>
      </c>
      <c r="D83" s="24">
        <f t="shared" si="39"/>
        <v>950</v>
      </c>
      <c r="E83" s="24">
        <f t="shared" si="39"/>
        <v>950</v>
      </c>
      <c r="F83" s="24">
        <f t="shared" si="39"/>
        <v>950</v>
      </c>
      <c r="G83" s="24">
        <f t="shared" si="39"/>
        <v>950</v>
      </c>
      <c r="H83" s="24">
        <f t="shared" si="39"/>
        <v>950</v>
      </c>
      <c r="I83" s="24">
        <f t="shared" si="39"/>
        <v>950</v>
      </c>
      <c r="J83" s="24">
        <f t="shared" si="39"/>
        <v>950</v>
      </c>
      <c r="K83" s="24">
        <f t="shared" si="39"/>
        <v>950</v>
      </c>
      <c r="L83" s="24">
        <f t="shared" si="39"/>
        <v>950</v>
      </c>
      <c r="M83" s="24">
        <f t="shared" si="39"/>
        <v>950</v>
      </c>
      <c r="N83" s="24">
        <f t="shared" si="38"/>
        <v>11400</v>
      </c>
      <c r="O83" s="25">
        <v>11757.61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47" t="s">
        <v>81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4">
        <f t="shared" si="38"/>
        <v>0</v>
      </c>
      <c r="O84" s="2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40" t="s">
        <v>82</v>
      </c>
      <c r="B85" s="31">
        <f t="shared" ref="B85:M85" si="40">SUM(B78:B84)</f>
        <v>960</v>
      </c>
      <c r="C85" s="31">
        <f t="shared" si="40"/>
        <v>960</v>
      </c>
      <c r="D85" s="31">
        <f t="shared" si="40"/>
        <v>960</v>
      </c>
      <c r="E85" s="31">
        <f t="shared" si="40"/>
        <v>960</v>
      </c>
      <c r="F85" s="31">
        <f t="shared" si="40"/>
        <v>960</v>
      </c>
      <c r="G85" s="31">
        <f t="shared" si="40"/>
        <v>960</v>
      </c>
      <c r="H85" s="31">
        <f t="shared" si="40"/>
        <v>960</v>
      </c>
      <c r="I85" s="31">
        <f t="shared" si="40"/>
        <v>960</v>
      </c>
      <c r="J85" s="31">
        <f t="shared" si="40"/>
        <v>960</v>
      </c>
      <c r="K85" s="31">
        <f t="shared" si="40"/>
        <v>960</v>
      </c>
      <c r="L85" s="31">
        <f t="shared" si="40"/>
        <v>960</v>
      </c>
      <c r="M85" s="31">
        <f t="shared" si="40"/>
        <v>960</v>
      </c>
      <c r="N85" s="31">
        <f t="shared" si="38"/>
        <v>11520</v>
      </c>
      <c r="O85" s="31">
        <f>SUM(O78:O84)</f>
        <v>11787.61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40" t="s">
        <v>83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47" t="s">
        <v>84</v>
      </c>
      <c r="B87" s="25">
        <v>428.26</v>
      </c>
      <c r="C87" s="25">
        <v>428.26</v>
      </c>
      <c r="D87" s="25">
        <v>428.26</v>
      </c>
      <c r="E87" s="25">
        <v>428.26</v>
      </c>
      <c r="F87" s="25">
        <v>428.26</v>
      </c>
      <c r="G87" s="25">
        <v>428.26</v>
      </c>
      <c r="H87" s="25">
        <v>428.26</v>
      </c>
      <c r="I87" s="25">
        <v>428.26</v>
      </c>
      <c r="J87" s="25">
        <v>428.26</v>
      </c>
      <c r="K87" s="25">
        <v>428.26</v>
      </c>
      <c r="L87" s="25">
        <v>428.26</v>
      </c>
      <c r="M87" s="25">
        <v>428.26</v>
      </c>
      <c r="N87" s="24">
        <f t="shared" ref="N87:N89" si="41">(((((((((((B87)+(C87))+(D87))+(E87))+(F87))+(G87))+(H87))+(I87))+(J87))+(K87))+(L87))+(M87)</f>
        <v>5139.12</v>
      </c>
      <c r="O87" s="25">
        <v>5139.12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47" t="s">
        <v>85</v>
      </c>
      <c r="B88" s="25">
        <v>900.0</v>
      </c>
      <c r="C88" s="25">
        <v>900.0</v>
      </c>
      <c r="D88" s="25">
        <v>900.0</v>
      </c>
      <c r="E88" s="25">
        <v>900.0</v>
      </c>
      <c r="F88" s="25">
        <v>900.0</v>
      </c>
      <c r="G88" s="25">
        <v>900.0</v>
      </c>
      <c r="H88" s="25">
        <v>900.0</v>
      </c>
      <c r="I88" s="25">
        <v>900.0</v>
      </c>
      <c r="J88" s="25">
        <v>900.0</v>
      </c>
      <c r="K88" s="25">
        <v>900.0</v>
      </c>
      <c r="L88" s="25">
        <v>900.0</v>
      </c>
      <c r="M88" s="25">
        <v>900.0</v>
      </c>
      <c r="N88" s="24">
        <f t="shared" si="41"/>
        <v>10800</v>
      </c>
      <c r="O88" s="25">
        <v>10800.0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40" t="s">
        <v>86</v>
      </c>
      <c r="B89" s="31">
        <f t="shared" ref="B89:M89" si="42">SUM(B87:B88)</f>
        <v>1328.26</v>
      </c>
      <c r="C89" s="31">
        <f t="shared" si="42"/>
        <v>1328.26</v>
      </c>
      <c r="D89" s="31">
        <f t="shared" si="42"/>
        <v>1328.26</v>
      </c>
      <c r="E89" s="31">
        <f t="shared" si="42"/>
        <v>1328.26</v>
      </c>
      <c r="F89" s="31">
        <f t="shared" si="42"/>
        <v>1328.26</v>
      </c>
      <c r="G89" s="31">
        <f t="shared" si="42"/>
        <v>1328.26</v>
      </c>
      <c r="H89" s="31">
        <f t="shared" si="42"/>
        <v>1328.26</v>
      </c>
      <c r="I89" s="31">
        <f t="shared" si="42"/>
        <v>1328.26</v>
      </c>
      <c r="J89" s="31">
        <f t="shared" si="42"/>
        <v>1328.26</v>
      </c>
      <c r="K89" s="31">
        <f t="shared" si="42"/>
        <v>1328.26</v>
      </c>
      <c r="L89" s="31">
        <f t="shared" si="42"/>
        <v>1328.26</v>
      </c>
      <c r="M89" s="31">
        <f t="shared" si="42"/>
        <v>1328.26</v>
      </c>
      <c r="N89" s="31">
        <f t="shared" si="41"/>
        <v>15939.12</v>
      </c>
      <c r="O89" s="31">
        <f>SUM(O87:O88)</f>
        <v>15939.12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40" t="s">
        <v>87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47" t="s">
        <v>88</v>
      </c>
      <c r="B91" s="24">
        <v>40.0</v>
      </c>
      <c r="C91" s="24">
        <v>40.0</v>
      </c>
      <c r="D91" s="24">
        <v>40.0</v>
      </c>
      <c r="E91" s="24">
        <v>40.0</v>
      </c>
      <c r="F91" s="24">
        <v>40.0</v>
      </c>
      <c r="G91" s="24">
        <v>40.0</v>
      </c>
      <c r="H91" s="24">
        <v>40.0</v>
      </c>
      <c r="I91" s="24">
        <v>40.0</v>
      </c>
      <c r="J91" s="24">
        <v>40.0</v>
      </c>
      <c r="K91" s="24">
        <v>40.0</v>
      </c>
      <c r="L91" s="24">
        <v>40.0</v>
      </c>
      <c r="M91" s="24">
        <v>40.0</v>
      </c>
      <c r="N91" s="24">
        <f t="shared" ref="N91:N100" si="43">(((((((((((B91)+(C91))+(D91))+(E91))+(F91))+(G91))+(H91))+(I91))+(J91))+(K91))+(L91))+(M91)</f>
        <v>480</v>
      </c>
      <c r="O91" s="2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47" t="s">
        <v>89</v>
      </c>
      <c r="B92" s="25">
        <v>110.0</v>
      </c>
      <c r="C92" s="25">
        <v>110.0</v>
      </c>
      <c r="D92" s="25">
        <v>110.0</v>
      </c>
      <c r="E92" s="25">
        <v>110.0</v>
      </c>
      <c r="F92" s="25">
        <v>110.0</v>
      </c>
      <c r="G92" s="25">
        <v>110.0</v>
      </c>
      <c r="H92" s="25">
        <v>110.0</v>
      </c>
      <c r="I92" s="25">
        <v>110.0</v>
      </c>
      <c r="J92" s="25">
        <v>110.0</v>
      </c>
      <c r="K92" s="25">
        <v>110.0</v>
      </c>
      <c r="L92" s="25">
        <v>110.0</v>
      </c>
      <c r="M92" s="25">
        <v>110.0</v>
      </c>
      <c r="N92" s="24">
        <f t="shared" si="43"/>
        <v>1320</v>
      </c>
      <c r="O92" s="25">
        <v>1344.96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47" t="s">
        <v>90</v>
      </c>
      <c r="B93" s="25">
        <v>150.0</v>
      </c>
      <c r="C93" s="25">
        <v>150.0</v>
      </c>
      <c r="D93" s="25">
        <v>150.0</v>
      </c>
      <c r="E93" s="25">
        <v>150.0</v>
      </c>
      <c r="F93" s="25">
        <v>150.0</v>
      </c>
      <c r="G93" s="25">
        <v>150.0</v>
      </c>
      <c r="H93" s="25">
        <v>150.0</v>
      </c>
      <c r="I93" s="25">
        <v>150.0</v>
      </c>
      <c r="J93" s="25">
        <v>150.0</v>
      </c>
      <c r="K93" s="25">
        <v>150.0</v>
      </c>
      <c r="L93" s="25">
        <v>150.0</v>
      </c>
      <c r="M93" s="25">
        <v>150.0</v>
      </c>
      <c r="N93" s="24">
        <f t="shared" si="43"/>
        <v>1800</v>
      </c>
      <c r="O93" s="25">
        <v>1914.27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47" t="s">
        <v>91</v>
      </c>
      <c r="B94" s="25">
        <v>61.0</v>
      </c>
      <c r="C94" s="25">
        <v>61.0</v>
      </c>
      <c r="D94" s="25">
        <v>61.0</v>
      </c>
      <c r="E94" s="25">
        <v>61.0</v>
      </c>
      <c r="F94" s="25">
        <v>61.0</v>
      </c>
      <c r="G94" s="25">
        <v>61.0</v>
      </c>
      <c r="H94" s="25">
        <v>61.0</v>
      </c>
      <c r="I94" s="25">
        <v>61.0</v>
      </c>
      <c r="J94" s="25">
        <v>61.0</v>
      </c>
      <c r="K94" s="25">
        <v>61.0</v>
      </c>
      <c r="L94" s="25">
        <v>61.0</v>
      </c>
      <c r="M94" s="25">
        <v>61.0</v>
      </c>
      <c r="N94" s="24">
        <f t="shared" si="43"/>
        <v>732</v>
      </c>
      <c r="O94" s="25">
        <v>732.0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47" t="s">
        <v>92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4">
        <f t="shared" si="43"/>
        <v>0</v>
      </c>
      <c r="O95" s="21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47" t="s">
        <v>93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4">
        <f t="shared" si="43"/>
        <v>0</v>
      </c>
      <c r="O96" s="21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47" t="s">
        <v>94</v>
      </c>
      <c r="B97" s="25">
        <v>50.0</v>
      </c>
      <c r="C97" s="25">
        <v>50.0</v>
      </c>
      <c r="D97" s="25">
        <v>50.0</v>
      </c>
      <c r="E97" s="25">
        <v>50.0</v>
      </c>
      <c r="F97" s="25">
        <v>50.0</v>
      </c>
      <c r="G97" s="25">
        <v>50.0</v>
      </c>
      <c r="H97" s="25">
        <v>50.0</v>
      </c>
      <c r="I97" s="25">
        <v>50.0</v>
      </c>
      <c r="J97" s="25">
        <v>50.0</v>
      </c>
      <c r="K97" s="25">
        <v>50.0</v>
      </c>
      <c r="L97" s="25">
        <v>50.0</v>
      </c>
      <c r="M97" s="25">
        <v>50.0</v>
      </c>
      <c r="N97" s="24">
        <f t="shared" si="43"/>
        <v>600</v>
      </c>
      <c r="O97" s="51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40" t="s">
        <v>95</v>
      </c>
      <c r="B98" s="31">
        <f t="shared" ref="B98:M98" si="44">SUM(B91:B97)</f>
        <v>411</v>
      </c>
      <c r="C98" s="31">
        <f t="shared" si="44"/>
        <v>411</v>
      </c>
      <c r="D98" s="31">
        <f t="shared" si="44"/>
        <v>411</v>
      </c>
      <c r="E98" s="31">
        <f t="shared" si="44"/>
        <v>411</v>
      </c>
      <c r="F98" s="31">
        <f t="shared" si="44"/>
        <v>411</v>
      </c>
      <c r="G98" s="31">
        <f t="shared" si="44"/>
        <v>411</v>
      </c>
      <c r="H98" s="31">
        <f t="shared" si="44"/>
        <v>411</v>
      </c>
      <c r="I98" s="31">
        <f t="shared" si="44"/>
        <v>411</v>
      </c>
      <c r="J98" s="31">
        <f t="shared" si="44"/>
        <v>411</v>
      </c>
      <c r="K98" s="31">
        <f t="shared" si="44"/>
        <v>411</v>
      </c>
      <c r="L98" s="31">
        <f t="shared" si="44"/>
        <v>411</v>
      </c>
      <c r="M98" s="31">
        <f t="shared" si="44"/>
        <v>411</v>
      </c>
      <c r="N98" s="31">
        <f t="shared" si="43"/>
        <v>4932</v>
      </c>
      <c r="O98" s="31">
        <f>SUM(O91:O97)</f>
        <v>3991.23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40" t="s">
        <v>96</v>
      </c>
      <c r="B99" s="31">
        <f t="shared" ref="B99:M99" si="45">B39+B46+B54+B65+B69+B76+B85+B89+B98</f>
        <v>8295.28661</v>
      </c>
      <c r="C99" s="31">
        <f t="shared" si="45"/>
        <v>8315.088632</v>
      </c>
      <c r="D99" s="31">
        <f t="shared" si="45"/>
        <v>8455.277391</v>
      </c>
      <c r="E99" s="31">
        <f t="shared" si="45"/>
        <v>8390.250462</v>
      </c>
      <c r="F99" s="31">
        <f t="shared" si="45"/>
        <v>8444.851718</v>
      </c>
      <c r="G99" s="31">
        <f t="shared" si="45"/>
        <v>8450.762984</v>
      </c>
      <c r="H99" s="31">
        <f t="shared" si="45"/>
        <v>8541.414349</v>
      </c>
      <c r="I99" s="31">
        <f t="shared" si="45"/>
        <v>8435.739396</v>
      </c>
      <c r="J99" s="31">
        <f t="shared" si="45"/>
        <v>8430.348191</v>
      </c>
      <c r="K99" s="31">
        <f t="shared" si="45"/>
        <v>8425.226546</v>
      </c>
      <c r="L99" s="31">
        <f t="shared" si="45"/>
        <v>8520.360983</v>
      </c>
      <c r="M99" s="31">
        <f t="shared" si="45"/>
        <v>8415.738698</v>
      </c>
      <c r="N99" s="31">
        <f t="shared" si="43"/>
        <v>101120.346</v>
      </c>
      <c r="O99" s="31">
        <f>O39+O46+O54+O65+O69+O76+O85+O89+O98</f>
        <v>107870.96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40" t="s">
        <v>97</v>
      </c>
      <c r="B100" s="52">
        <f t="shared" ref="B100:M100" si="46">B30-B99</f>
        <v>30875.32859</v>
      </c>
      <c r="C100" s="52">
        <f t="shared" si="46"/>
        <v>31588.93479</v>
      </c>
      <c r="D100" s="52">
        <f t="shared" si="46"/>
        <v>32937.21858</v>
      </c>
      <c r="E100" s="52">
        <f t="shared" si="46"/>
        <v>34297.54444</v>
      </c>
      <c r="F100" s="52">
        <f t="shared" si="46"/>
        <v>36265.2119</v>
      </c>
      <c r="G100" s="52">
        <f t="shared" si="46"/>
        <v>36478.23644</v>
      </c>
      <c r="H100" s="52">
        <f t="shared" si="46"/>
        <v>36041.33933</v>
      </c>
      <c r="I100" s="52">
        <f t="shared" si="46"/>
        <v>35936.83084</v>
      </c>
      <c r="J100" s="52">
        <f t="shared" si="46"/>
        <v>35742.54777</v>
      </c>
      <c r="K100" s="52">
        <f t="shared" si="46"/>
        <v>35557.97885</v>
      </c>
      <c r="L100" s="52">
        <f t="shared" si="46"/>
        <v>35282.63838</v>
      </c>
      <c r="M100" s="52">
        <f t="shared" si="46"/>
        <v>35216.06493</v>
      </c>
      <c r="N100" s="52">
        <f t="shared" si="43"/>
        <v>416219.8748</v>
      </c>
      <c r="O100" s="52">
        <f>O30-O99</f>
        <v>329733.45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41"/>
      <c r="B101" s="41"/>
      <c r="C101" s="5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53" t="s">
        <v>98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48" t="s">
        <v>99</v>
      </c>
      <c r="B103" s="25">
        <v>250.0</v>
      </c>
      <c r="C103" s="25">
        <v>250.0</v>
      </c>
      <c r="D103" s="25">
        <v>250.0</v>
      </c>
      <c r="E103" s="25">
        <v>250.0</v>
      </c>
      <c r="F103" s="25">
        <v>250.0</v>
      </c>
      <c r="G103" s="25">
        <v>250.0</v>
      </c>
      <c r="H103" s="25">
        <v>250.0</v>
      </c>
      <c r="I103" s="25">
        <v>250.0</v>
      </c>
      <c r="J103" s="25">
        <v>250.0</v>
      </c>
      <c r="K103" s="25">
        <v>250.0</v>
      </c>
      <c r="L103" s="25">
        <v>250.0</v>
      </c>
      <c r="M103" s="25">
        <v>250.0</v>
      </c>
      <c r="N103" s="24">
        <f t="shared" ref="N103:N104" si="48">(((((((((((B103)+(C103))+(D103))+(E103))+(F103))+(G103))+(H103))+(I103))+(J103))+(K103))+(L103))+(M103)</f>
        <v>3000</v>
      </c>
      <c r="O103" s="25">
        <v>2784.64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53" t="s">
        <v>100</v>
      </c>
      <c r="B104" s="31">
        <f t="shared" ref="B104:M104" si="47">SUM(B103)</f>
        <v>250</v>
      </c>
      <c r="C104" s="31">
        <f t="shared" si="47"/>
        <v>250</v>
      </c>
      <c r="D104" s="31">
        <f t="shared" si="47"/>
        <v>250</v>
      </c>
      <c r="E104" s="31">
        <f t="shared" si="47"/>
        <v>250</v>
      </c>
      <c r="F104" s="31">
        <f t="shared" si="47"/>
        <v>250</v>
      </c>
      <c r="G104" s="31">
        <f t="shared" si="47"/>
        <v>250</v>
      </c>
      <c r="H104" s="31">
        <f t="shared" si="47"/>
        <v>250</v>
      </c>
      <c r="I104" s="31">
        <f t="shared" si="47"/>
        <v>250</v>
      </c>
      <c r="J104" s="31">
        <f t="shared" si="47"/>
        <v>250</v>
      </c>
      <c r="K104" s="31">
        <f t="shared" si="47"/>
        <v>250</v>
      </c>
      <c r="L104" s="31">
        <f t="shared" si="47"/>
        <v>250</v>
      </c>
      <c r="M104" s="31">
        <f t="shared" si="47"/>
        <v>250</v>
      </c>
      <c r="N104" s="31">
        <f t="shared" si="48"/>
        <v>3000</v>
      </c>
      <c r="O104" s="31">
        <f>SUM(O103)</f>
        <v>2784.64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53" t="s">
        <v>101</v>
      </c>
      <c r="B105" s="54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48" t="s">
        <v>102</v>
      </c>
      <c r="B106" s="25">
        <v>8200.0</v>
      </c>
      <c r="C106" s="25">
        <v>8200.0</v>
      </c>
      <c r="D106" s="25">
        <v>8200.0</v>
      </c>
      <c r="E106" s="25">
        <v>8200.0</v>
      </c>
      <c r="F106" s="25">
        <v>8200.0</v>
      </c>
      <c r="G106" s="25">
        <v>8200.0</v>
      </c>
      <c r="H106" s="25">
        <v>8200.0</v>
      </c>
      <c r="I106" s="25">
        <v>8200.0</v>
      </c>
      <c r="J106" s="25">
        <v>8200.0</v>
      </c>
      <c r="K106" s="25">
        <v>8200.0</v>
      </c>
      <c r="L106" s="25">
        <v>8200.0</v>
      </c>
      <c r="M106" s="25">
        <v>8200.0</v>
      </c>
      <c r="N106" s="24">
        <f t="shared" ref="N106:N109" si="50">(((((((((((B106)+(C106))+(D106))+(E106))+(F106))+(G106))+(H106))+(I106))+(J106))+(K106))+(L106))+(M106)</f>
        <v>98400</v>
      </c>
      <c r="O106" s="25">
        <v>94459.76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53" t="s">
        <v>103</v>
      </c>
      <c r="B107" s="31">
        <f t="shared" ref="B107:M107" si="49">SUM(B106)</f>
        <v>8200</v>
      </c>
      <c r="C107" s="31">
        <f t="shared" si="49"/>
        <v>8200</v>
      </c>
      <c r="D107" s="31">
        <f t="shared" si="49"/>
        <v>8200</v>
      </c>
      <c r="E107" s="31">
        <f t="shared" si="49"/>
        <v>8200</v>
      </c>
      <c r="F107" s="31">
        <f t="shared" si="49"/>
        <v>8200</v>
      </c>
      <c r="G107" s="31">
        <f t="shared" si="49"/>
        <v>8200</v>
      </c>
      <c r="H107" s="31">
        <f t="shared" si="49"/>
        <v>8200</v>
      </c>
      <c r="I107" s="31">
        <f t="shared" si="49"/>
        <v>8200</v>
      </c>
      <c r="J107" s="31">
        <f t="shared" si="49"/>
        <v>8200</v>
      </c>
      <c r="K107" s="31">
        <f t="shared" si="49"/>
        <v>8200</v>
      </c>
      <c r="L107" s="31">
        <f t="shared" si="49"/>
        <v>8200</v>
      </c>
      <c r="M107" s="31">
        <f t="shared" si="49"/>
        <v>8200</v>
      </c>
      <c r="N107" s="31">
        <f t="shared" si="50"/>
        <v>98400</v>
      </c>
      <c r="O107" s="31">
        <f>SUM(O106)</f>
        <v>94459.76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40" t="s">
        <v>104</v>
      </c>
      <c r="B108" s="31">
        <f t="shared" ref="B108:M108" si="51">B107-B104</f>
        <v>7950</v>
      </c>
      <c r="C108" s="31">
        <f t="shared" si="51"/>
        <v>7950</v>
      </c>
      <c r="D108" s="31">
        <f t="shared" si="51"/>
        <v>7950</v>
      </c>
      <c r="E108" s="31">
        <f t="shared" si="51"/>
        <v>7950</v>
      </c>
      <c r="F108" s="31">
        <f t="shared" si="51"/>
        <v>7950</v>
      </c>
      <c r="G108" s="31">
        <f t="shared" si="51"/>
        <v>7950</v>
      </c>
      <c r="H108" s="31">
        <f t="shared" si="51"/>
        <v>7950</v>
      </c>
      <c r="I108" s="31">
        <f t="shared" si="51"/>
        <v>7950</v>
      </c>
      <c r="J108" s="31">
        <f t="shared" si="51"/>
        <v>7950</v>
      </c>
      <c r="K108" s="31">
        <f t="shared" si="51"/>
        <v>7950</v>
      </c>
      <c r="L108" s="31">
        <f t="shared" si="51"/>
        <v>7950</v>
      </c>
      <c r="M108" s="31">
        <f t="shared" si="51"/>
        <v>7950</v>
      </c>
      <c r="N108" s="31">
        <f t="shared" si="50"/>
        <v>95400</v>
      </c>
      <c r="O108" s="31">
        <f>O107-O104</f>
        <v>91675.12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40" t="s">
        <v>105</v>
      </c>
      <c r="B109" s="52">
        <f t="shared" ref="B109:M109" si="52">B100-B108</f>
        <v>22925.32859</v>
      </c>
      <c r="C109" s="52">
        <f t="shared" si="52"/>
        <v>23638.93479</v>
      </c>
      <c r="D109" s="52">
        <f t="shared" si="52"/>
        <v>24987.21858</v>
      </c>
      <c r="E109" s="52">
        <f t="shared" si="52"/>
        <v>26347.54444</v>
      </c>
      <c r="F109" s="52">
        <f t="shared" si="52"/>
        <v>28315.2119</v>
      </c>
      <c r="G109" s="52">
        <f t="shared" si="52"/>
        <v>28528.23644</v>
      </c>
      <c r="H109" s="52">
        <f t="shared" si="52"/>
        <v>28091.33933</v>
      </c>
      <c r="I109" s="52">
        <f t="shared" si="52"/>
        <v>27986.83084</v>
      </c>
      <c r="J109" s="52">
        <f t="shared" si="52"/>
        <v>27792.54777</v>
      </c>
      <c r="K109" s="52">
        <f t="shared" si="52"/>
        <v>27607.97885</v>
      </c>
      <c r="L109" s="52">
        <f t="shared" si="52"/>
        <v>27332.63838</v>
      </c>
      <c r="M109" s="52">
        <f t="shared" si="52"/>
        <v>27266.06493</v>
      </c>
      <c r="N109" s="52">
        <f t="shared" si="50"/>
        <v>320819.8748</v>
      </c>
      <c r="O109" s="52">
        <f>O100-O108</f>
        <v>238058.33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</sheetData>
  <mergeCells count="5">
    <mergeCell ref="A1:N1"/>
    <mergeCell ref="A2:N2"/>
    <mergeCell ref="A3:N3"/>
    <mergeCell ref="A10:C10"/>
    <mergeCell ref="A32:C32"/>
  </mergeCells>
  <printOptions horizontalCentered="1"/>
  <pageMargins bottom="0.75" footer="0.0" header="0.0" left="0.7" right="0.7" top="0.75"/>
  <pageSetup orientation="landscape"/>
  <rowBreaks count="1" manualBreakCount="1">
    <brk id="4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36.86"/>
    <col customWidth="1" min="2" max="13" width="10.0"/>
    <col customWidth="1" min="14" max="14" width="10.71"/>
    <col customWidth="1" min="15" max="15" width="11.43"/>
    <col customWidth="1" min="16" max="27" width="8.71"/>
  </cols>
  <sheetData>
    <row r="1">
      <c r="A1" s="1" t="s">
        <v>106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4" t="s">
        <v>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5"/>
      <c r="B4" s="6">
        <v>46023.0</v>
      </c>
      <c r="C4" s="6">
        <v>46054.0</v>
      </c>
      <c r="D4" s="6">
        <v>46082.0</v>
      </c>
      <c r="E4" s="6">
        <v>46113.0</v>
      </c>
      <c r="F4" s="6">
        <v>46143.0</v>
      </c>
      <c r="G4" s="6">
        <v>46174.0</v>
      </c>
      <c r="H4" s="6">
        <v>46204.0</v>
      </c>
      <c r="I4" s="6">
        <v>46235.0</v>
      </c>
      <c r="J4" s="6">
        <v>46266.0</v>
      </c>
      <c r="K4" s="6">
        <v>46296.0</v>
      </c>
      <c r="L4" s="6">
        <v>46327.0</v>
      </c>
      <c r="M4" s="6">
        <v>46357.0</v>
      </c>
      <c r="N4" s="7" t="s">
        <v>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8" t="s">
        <v>4</v>
      </c>
      <c r="B5" s="9">
        <v>5.0</v>
      </c>
      <c r="C5" s="9">
        <v>10.0</v>
      </c>
      <c r="D5" s="9">
        <v>10.0</v>
      </c>
      <c r="E5" s="9">
        <v>10.0</v>
      </c>
      <c r="F5" s="9">
        <v>20.0</v>
      </c>
      <c r="G5" s="9">
        <v>10.0</v>
      </c>
      <c r="H5" s="9">
        <v>10.0</v>
      </c>
      <c r="I5" s="9">
        <v>10.0</v>
      </c>
      <c r="J5" s="9">
        <v>10.0</v>
      </c>
      <c r="K5" s="9">
        <v>10.0</v>
      </c>
      <c r="L5" s="9">
        <v>10.0</v>
      </c>
      <c r="M5" s="9">
        <v>10.0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>
      <c r="A6" s="8" t="s">
        <v>5</v>
      </c>
      <c r="B6" s="10">
        <f>B7*0.05</f>
        <v>8.6</v>
      </c>
      <c r="C6" s="11">
        <f t="shared" ref="C6:M6" si="1">B7*0.05</f>
        <v>8.6</v>
      </c>
      <c r="D6" s="11">
        <f t="shared" si="1"/>
        <v>8.67</v>
      </c>
      <c r="E6" s="11">
        <f t="shared" si="1"/>
        <v>8.7365</v>
      </c>
      <c r="F6" s="11">
        <f t="shared" si="1"/>
        <v>8.799675</v>
      </c>
      <c r="G6" s="11">
        <f t="shared" si="1"/>
        <v>9.35969125</v>
      </c>
      <c r="H6" s="11">
        <f t="shared" si="1"/>
        <v>9.391706688</v>
      </c>
      <c r="I6" s="11">
        <f t="shared" si="1"/>
        <v>9.422121353</v>
      </c>
      <c r="J6" s="11">
        <f t="shared" si="1"/>
        <v>9.451015285</v>
      </c>
      <c r="K6" s="11">
        <f t="shared" si="1"/>
        <v>9.478464521</v>
      </c>
      <c r="L6" s="11">
        <f t="shared" si="1"/>
        <v>9.504541295</v>
      </c>
      <c r="M6" s="11">
        <f t="shared" si="1"/>
        <v>9.52931423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8" t="s">
        <v>6</v>
      </c>
      <c r="B7" s="12">
        <v>172.0</v>
      </c>
      <c r="C7" s="13">
        <f t="shared" ref="C7:M7" si="2">B7+C5-C6</f>
        <v>173.4</v>
      </c>
      <c r="D7" s="13">
        <f t="shared" si="2"/>
        <v>174.73</v>
      </c>
      <c r="E7" s="13">
        <f t="shared" si="2"/>
        <v>175.9935</v>
      </c>
      <c r="F7" s="13">
        <f t="shared" si="2"/>
        <v>187.193825</v>
      </c>
      <c r="G7" s="13">
        <f t="shared" si="2"/>
        <v>187.8341338</v>
      </c>
      <c r="H7" s="13">
        <f t="shared" si="2"/>
        <v>188.4424271</v>
      </c>
      <c r="I7" s="13">
        <f t="shared" si="2"/>
        <v>189.0203057</v>
      </c>
      <c r="J7" s="13">
        <f t="shared" si="2"/>
        <v>189.5692904</v>
      </c>
      <c r="K7" s="13">
        <f t="shared" si="2"/>
        <v>190.0908259</v>
      </c>
      <c r="L7" s="13">
        <f t="shared" si="2"/>
        <v>190.5862846</v>
      </c>
      <c r="M7" s="13">
        <f t="shared" si="2"/>
        <v>191.0569704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14" t="s">
        <v>7</v>
      </c>
      <c r="B8" s="15">
        <f t="shared" ref="B8:M8" si="3">B7/205</f>
        <v>0.8390243902</v>
      </c>
      <c r="C8" s="15">
        <f t="shared" si="3"/>
        <v>0.8458536585</v>
      </c>
      <c r="D8" s="15">
        <f t="shared" si="3"/>
        <v>0.8523414634</v>
      </c>
      <c r="E8" s="15">
        <f t="shared" si="3"/>
        <v>0.858504878</v>
      </c>
      <c r="F8" s="15">
        <f t="shared" si="3"/>
        <v>0.9131406098</v>
      </c>
      <c r="G8" s="15">
        <f t="shared" si="3"/>
        <v>0.9162640671</v>
      </c>
      <c r="H8" s="15">
        <f t="shared" si="3"/>
        <v>0.9192313515</v>
      </c>
      <c r="I8" s="15">
        <f t="shared" si="3"/>
        <v>0.9220502718</v>
      </c>
      <c r="J8" s="15">
        <f t="shared" si="3"/>
        <v>0.924728246</v>
      </c>
      <c r="K8" s="15">
        <f t="shared" si="3"/>
        <v>0.9272723215</v>
      </c>
      <c r="L8" s="15">
        <f t="shared" si="3"/>
        <v>0.9296891932</v>
      </c>
      <c r="M8" s="15">
        <f t="shared" si="3"/>
        <v>0.9319852214</v>
      </c>
      <c r="N8" s="2"/>
      <c r="O8" s="16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7"/>
      <c r="B9" s="6">
        <v>46023.0</v>
      </c>
      <c r="C9" s="6">
        <v>46054.0</v>
      </c>
      <c r="D9" s="6">
        <v>46082.0</v>
      </c>
      <c r="E9" s="6">
        <v>46113.0</v>
      </c>
      <c r="F9" s="6">
        <v>46143.0</v>
      </c>
      <c r="G9" s="6">
        <v>46174.0</v>
      </c>
      <c r="H9" s="6">
        <v>46204.0</v>
      </c>
      <c r="I9" s="6">
        <v>46235.0</v>
      </c>
      <c r="J9" s="6">
        <v>46266.0</v>
      </c>
      <c r="K9" s="6">
        <v>46296.0</v>
      </c>
      <c r="L9" s="6">
        <v>46327.0</v>
      </c>
      <c r="M9" s="6">
        <v>46357.0</v>
      </c>
      <c r="N9" s="7" t="s">
        <v>3</v>
      </c>
      <c r="O9" s="18" t="s">
        <v>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19" t="s">
        <v>10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22" t="s">
        <v>11</v>
      </c>
      <c r="B11" s="23">
        <f t="shared" ref="B11:M11" si="4">((23176/172)*1.07)*B7</f>
        <v>24798.32</v>
      </c>
      <c r="C11" s="23">
        <f t="shared" si="4"/>
        <v>25000.16679</v>
      </c>
      <c r="D11" s="23">
        <f t="shared" si="4"/>
        <v>25191.92124</v>
      </c>
      <c r="E11" s="23">
        <f t="shared" si="4"/>
        <v>25374.08797</v>
      </c>
      <c r="F11" s="23">
        <f t="shared" si="4"/>
        <v>26988.90915</v>
      </c>
      <c r="G11" s="23">
        <f t="shared" si="4"/>
        <v>27081.22649</v>
      </c>
      <c r="H11" s="23">
        <f t="shared" si="4"/>
        <v>27168.92795</v>
      </c>
      <c r="I11" s="23">
        <f t="shared" si="4"/>
        <v>27252.24435</v>
      </c>
      <c r="J11" s="23">
        <f t="shared" si="4"/>
        <v>27331.39492</v>
      </c>
      <c r="K11" s="23">
        <f t="shared" si="4"/>
        <v>27406.58796</v>
      </c>
      <c r="L11" s="23">
        <f t="shared" si="4"/>
        <v>27478.02136</v>
      </c>
      <c r="M11" s="23">
        <f t="shared" si="4"/>
        <v>27545.88308</v>
      </c>
      <c r="N11" s="24">
        <f t="shared" ref="N11:N13" si="5">SUM(B11:M11)</f>
        <v>318617.6913</v>
      </c>
      <c r="O11" s="25">
        <f>267881.12-20+17+250.79</f>
        <v>268128.91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26" t="s">
        <v>12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4">
        <f t="shared" si="5"/>
        <v>0</v>
      </c>
      <c r="O12" s="2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26" t="s">
        <v>13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>
        <f t="shared" si="5"/>
        <v>0</v>
      </c>
      <c r="O13" s="2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29" t="s">
        <v>14</v>
      </c>
      <c r="B14" s="30">
        <f t="shared" ref="B14:M14" si="6">SUM(B11:B13)</f>
        <v>24798.32</v>
      </c>
      <c r="C14" s="30">
        <f t="shared" si="6"/>
        <v>25000.16679</v>
      </c>
      <c r="D14" s="30">
        <f t="shared" si="6"/>
        <v>25191.92124</v>
      </c>
      <c r="E14" s="30">
        <f t="shared" si="6"/>
        <v>25374.08797</v>
      </c>
      <c r="F14" s="30">
        <f t="shared" si="6"/>
        <v>26988.90915</v>
      </c>
      <c r="G14" s="30">
        <f t="shared" si="6"/>
        <v>27081.22649</v>
      </c>
      <c r="H14" s="30">
        <f t="shared" si="6"/>
        <v>27168.92795</v>
      </c>
      <c r="I14" s="30">
        <f t="shared" si="6"/>
        <v>27252.24435</v>
      </c>
      <c r="J14" s="30">
        <f t="shared" si="6"/>
        <v>27331.39492</v>
      </c>
      <c r="K14" s="30">
        <f t="shared" si="6"/>
        <v>27406.58796</v>
      </c>
      <c r="L14" s="30">
        <f t="shared" si="6"/>
        <v>27478.02136</v>
      </c>
      <c r="M14" s="30">
        <f t="shared" si="6"/>
        <v>27545.88308</v>
      </c>
      <c r="N14" s="31">
        <f>(((((((((((B14)+(C14))+(D14))+(E14))+(F14))+(G14))+(H14))+(I14))+(J14))+(K14))+(L14))+(M14)</f>
        <v>318617.6913</v>
      </c>
      <c r="O14" s="30">
        <f>SUM(O11:O13)</f>
        <v>268128.91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32" t="s">
        <v>15</v>
      </c>
      <c r="B15" s="33"/>
      <c r="C15" s="34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36" t="s">
        <v>16</v>
      </c>
      <c r="B16" s="37">
        <f t="shared" ref="B16:M16" si="7">B5*25</f>
        <v>125</v>
      </c>
      <c r="C16" s="37">
        <f t="shared" si="7"/>
        <v>250</v>
      </c>
      <c r="D16" s="37">
        <f t="shared" si="7"/>
        <v>250</v>
      </c>
      <c r="E16" s="37">
        <f t="shared" si="7"/>
        <v>250</v>
      </c>
      <c r="F16" s="37">
        <f t="shared" si="7"/>
        <v>500</v>
      </c>
      <c r="G16" s="37">
        <f t="shared" si="7"/>
        <v>250</v>
      </c>
      <c r="H16" s="37">
        <f t="shared" si="7"/>
        <v>250</v>
      </c>
      <c r="I16" s="37">
        <f t="shared" si="7"/>
        <v>250</v>
      </c>
      <c r="J16" s="37">
        <f t="shared" si="7"/>
        <v>250</v>
      </c>
      <c r="K16" s="37">
        <f t="shared" si="7"/>
        <v>250</v>
      </c>
      <c r="L16" s="37">
        <f t="shared" si="7"/>
        <v>250</v>
      </c>
      <c r="M16" s="37">
        <f t="shared" si="7"/>
        <v>250</v>
      </c>
      <c r="N16" s="24">
        <f t="shared" ref="N16:N20" si="9">SUM(B16:M16)</f>
        <v>3125</v>
      </c>
      <c r="O16" s="25">
        <v>2050.0</v>
      </c>
      <c r="P16" s="3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38" t="s">
        <v>17</v>
      </c>
      <c r="B17" s="39">
        <f t="shared" ref="B17:M17" si="8">B11*0.04</f>
        <v>991.9328</v>
      </c>
      <c r="C17" s="39">
        <f t="shared" si="8"/>
        <v>1000.006672</v>
      </c>
      <c r="D17" s="39">
        <f t="shared" si="8"/>
        <v>1007.67685</v>
      </c>
      <c r="E17" s="39">
        <f t="shared" si="8"/>
        <v>1014.963519</v>
      </c>
      <c r="F17" s="39">
        <f t="shared" si="8"/>
        <v>1079.556366</v>
      </c>
      <c r="G17" s="39">
        <f t="shared" si="8"/>
        <v>1083.249059</v>
      </c>
      <c r="H17" s="39">
        <f t="shared" si="8"/>
        <v>1086.757118</v>
      </c>
      <c r="I17" s="39">
        <f t="shared" si="8"/>
        <v>1090.089774</v>
      </c>
      <c r="J17" s="39">
        <f t="shared" si="8"/>
        <v>1093.255797</v>
      </c>
      <c r="K17" s="39">
        <f t="shared" si="8"/>
        <v>1096.263519</v>
      </c>
      <c r="L17" s="39">
        <f t="shared" si="8"/>
        <v>1099.120854</v>
      </c>
      <c r="M17" s="39">
        <f t="shared" si="8"/>
        <v>1101.835323</v>
      </c>
      <c r="N17" s="24">
        <f t="shared" si="9"/>
        <v>12744.70765</v>
      </c>
      <c r="O17" s="25">
        <v>6879.38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36" t="s">
        <v>18</v>
      </c>
      <c r="B18" s="37">
        <f t="shared" ref="B18:M18" si="10">5*(B7*0.05)</f>
        <v>43</v>
      </c>
      <c r="C18" s="37">
        <f t="shared" si="10"/>
        <v>43.35</v>
      </c>
      <c r="D18" s="37">
        <f t="shared" si="10"/>
        <v>43.6825</v>
      </c>
      <c r="E18" s="37">
        <f t="shared" si="10"/>
        <v>43.998375</v>
      </c>
      <c r="F18" s="37">
        <f t="shared" si="10"/>
        <v>46.79845625</v>
      </c>
      <c r="G18" s="37">
        <f t="shared" si="10"/>
        <v>46.95853344</v>
      </c>
      <c r="H18" s="37">
        <f t="shared" si="10"/>
        <v>47.11060677</v>
      </c>
      <c r="I18" s="37">
        <f t="shared" si="10"/>
        <v>47.25507643</v>
      </c>
      <c r="J18" s="37">
        <f t="shared" si="10"/>
        <v>47.39232261</v>
      </c>
      <c r="K18" s="37">
        <f t="shared" si="10"/>
        <v>47.52270648</v>
      </c>
      <c r="L18" s="37">
        <f t="shared" si="10"/>
        <v>47.64657115</v>
      </c>
      <c r="M18" s="37">
        <f t="shared" si="10"/>
        <v>47.76424259</v>
      </c>
      <c r="N18" s="24">
        <f t="shared" si="9"/>
        <v>552.4793907</v>
      </c>
      <c r="O18" s="25">
        <v>317.47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36" t="s">
        <v>19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4">
        <f t="shared" si="9"/>
        <v>0</v>
      </c>
      <c r="O19" s="2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36" t="s">
        <v>20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24">
        <f t="shared" si="9"/>
        <v>0</v>
      </c>
      <c r="O20" s="2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40" t="s">
        <v>21</v>
      </c>
      <c r="B21" s="31">
        <f t="shared" ref="B21:M21" si="11">SUM(B16:B20)</f>
        <v>1159.9328</v>
      </c>
      <c r="C21" s="31">
        <f t="shared" si="11"/>
        <v>1293.356672</v>
      </c>
      <c r="D21" s="31">
        <f t="shared" si="11"/>
        <v>1301.35935</v>
      </c>
      <c r="E21" s="31">
        <f t="shared" si="11"/>
        <v>1308.961894</v>
      </c>
      <c r="F21" s="31">
        <f t="shared" si="11"/>
        <v>1626.354822</v>
      </c>
      <c r="G21" s="31">
        <f t="shared" si="11"/>
        <v>1380.207593</v>
      </c>
      <c r="H21" s="31">
        <f t="shared" si="11"/>
        <v>1383.867725</v>
      </c>
      <c r="I21" s="31">
        <f t="shared" si="11"/>
        <v>1387.34485</v>
      </c>
      <c r="J21" s="31">
        <f t="shared" si="11"/>
        <v>1390.648119</v>
      </c>
      <c r="K21" s="31">
        <f t="shared" si="11"/>
        <v>1393.786225</v>
      </c>
      <c r="L21" s="31">
        <f t="shared" si="11"/>
        <v>1396.767425</v>
      </c>
      <c r="M21" s="31">
        <f t="shared" si="11"/>
        <v>1399.599566</v>
      </c>
      <c r="N21" s="31">
        <f>(((((((((((B21)+(C21))+(D21))+(E21))+(F21))+(G21))+(H21))+(I21))+(J21))+(K21))+(L21))+(M21)</f>
        <v>16422.18704</v>
      </c>
      <c r="O21" s="31">
        <f>SUM(O16:O20)</f>
        <v>9246.85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40" t="s">
        <v>22</v>
      </c>
      <c r="B22" s="41"/>
      <c r="C22" s="34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36" t="s">
        <v>23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4">
        <f t="shared" ref="N23:N28" si="13">SUM(B23:M23)</f>
        <v>0</v>
      </c>
      <c r="O23" s="2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38" t="s">
        <v>24</v>
      </c>
      <c r="B24" s="42">
        <f t="shared" ref="B24:M24" si="12">B7*0.94*6</f>
        <v>970.08</v>
      </c>
      <c r="C24" s="42">
        <f t="shared" si="12"/>
        <v>977.976</v>
      </c>
      <c r="D24" s="42">
        <f t="shared" si="12"/>
        <v>985.4772</v>
      </c>
      <c r="E24" s="42">
        <f t="shared" si="12"/>
        <v>992.60334</v>
      </c>
      <c r="F24" s="42">
        <f t="shared" si="12"/>
        <v>1055.773173</v>
      </c>
      <c r="G24" s="42">
        <f t="shared" si="12"/>
        <v>1059.384514</v>
      </c>
      <c r="H24" s="42">
        <f t="shared" si="12"/>
        <v>1062.815289</v>
      </c>
      <c r="I24" s="42">
        <f t="shared" si="12"/>
        <v>1066.074524</v>
      </c>
      <c r="J24" s="42">
        <f t="shared" si="12"/>
        <v>1069.170798</v>
      </c>
      <c r="K24" s="42">
        <f t="shared" si="12"/>
        <v>1072.112258</v>
      </c>
      <c r="L24" s="42">
        <f t="shared" si="12"/>
        <v>1074.906645</v>
      </c>
      <c r="M24" s="42">
        <f t="shared" si="12"/>
        <v>1077.561313</v>
      </c>
      <c r="N24" s="24">
        <f t="shared" si="13"/>
        <v>12463.93505</v>
      </c>
      <c r="O24" s="25">
        <v>10661.09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43" t="s">
        <v>25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4">
        <f t="shared" si="13"/>
        <v>0</v>
      </c>
      <c r="O25" s="2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43" t="s">
        <v>26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4">
        <f t="shared" si="13"/>
        <v>0</v>
      </c>
      <c r="O26" s="21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44" t="s">
        <v>27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24">
        <f t="shared" si="13"/>
        <v>0</v>
      </c>
      <c r="O27" s="2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36" t="s">
        <v>28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4">
        <f t="shared" si="13"/>
        <v>0</v>
      </c>
      <c r="O28" s="2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40" t="s">
        <v>29</v>
      </c>
      <c r="B29" s="31">
        <f t="shared" ref="B29:M29" si="14">SUM(B23:B28)</f>
        <v>970.08</v>
      </c>
      <c r="C29" s="31">
        <f t="shared" si="14"/>
        <v>977.976</v>
      </c>
      <c r="D29" s="31">
        <f t="shared" si="14"/>
        <v>985.4772</v>
      </c>
      <c r="E29" s="31">
        <f t="shared" si="14"/>
        <v>992.60334</v>
      </c>
      <c r="F29" s="31">
        <f t="shared" si="14"/>
        <v>1055.773173</v>
      </c>
      <c r="G29" s="31">
        <f t="shared" si="14"/>
        <v>1059.384514</v>
      </c>
      <c r="H29" s="31">
        <f t="shared" si="14"/>
        <v>1062.815289</v>
      </c>
      <c r="I29" s="31">
        <f t="shared" si="14"/>
        <v>1066.074524</v>
      </c>
      <c r="J29" s="31">
        <f t="shared" si="14"/>
        <v>1069.170798</v>
      </c>
      <c r="K29" s="31">
        <f t="shared" si="14"/>
        <v>1072.112258</v>
      </c>
      <c r="L29" s="31">
        <f t="shared" si="14"/>
        <v>1074.906645</v>
      </c>
      <c r="M29" s="31">
        <f t="shared" si="14"/>
        <v>1077.561313</v>
      </c>
      <c r="N29" s="31">
        <f>(((((((((((B29)+(C29))+(D29))+(E29))+(F29))+(G29))+(H29))+(I29))+(J29))+(K29))+(L29))+(M29)</f>
        <v>12463.93505</v>
      </c>
      <c r="O29" s="31">
        <f>SUM(O23:O28)</f>
        <v>10661.09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19" t="s">
        <v>30</v>
      </c>
      <c r="B30" s="45">
        <f t="shared" ref="B30:M30" si="15">B14+B21+B29</f>
        <v>26928.3328</v>
      </c>
      <c r="C30" s="45">
        <f t="shared" si="15"/>
        <v>27271.49946</v>
      </c>
      <c r="D30" s="45">
        <f t="shared" si="15"/>
        <v>27478.75779</v>
      </c>
      <c r="E30" s="45">
        <f t="shared" si="15"/>
        <v>27675.6532</v>
      </c>
      <c r="F30" s="45">
        <f t="shared" si="15"/>
        <v>29671.03715</v>
      </c>
      <c r="G30" s="45">
        <f t="shared" si="15"/>
        <v>29520.81859</v>
      </c>
      <c r="H30" s="45">
        <f t="shared" si="15"/>
        <v>29615.61097</v>
      </c>
      <c r="I30" s="45">
        <f t="shared" si="15"/>
        <v>29705.66372</v>
      </c>
      <c r="J30" s="45">
        <f t="shared" si="15"/>
        <v>29791.21384</v>
      </c>
      <c r="K30" s="45">
        <f t="shared" si="15"/>
        <v>29872.48645</v>
      </c>
      <c r="L30" s="45">
        <f t="shared" si="15"/>
        <v>29949.69543</v>
      </c>
      <c r="M30" s="45">
        <f t="shared" si="15"/>
        <v>30023.04396</v>
      </c>
      <c r="N30" s="31">
        <f>SUM(B30:M30)</f>
        <v>347503.8134</v>
      </c>
      <c r="O30" s="31">
        <f>O14+O21+O29</f>
        <v>288036.85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5"/>
      <c r="B31" s="41"/>
      <c r="C31" s="4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19" t="s">
        <v>31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40" t="s">
        <v>32</v>
      </c>
      <c r="B33" s="41"/>
      <c r="C33" s="34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46" t="s">
        <v>33</v>
      </c>
      <c r="B34" s="25">
        <v>300.0</v>
      </c>
      <c r="C34" s="24">
        <f t="shared" ref="C34:M34" si="16">B34</f>
        <v>300</v>
      </c>
      <c r="D34" s="24">
        <f t="shared" si="16"/>
        <v>300</v>
      </c>
      <c r="E34" s="24">
        <f t="shared" si="16"/>
        <v>300</v>
      </c>
      <c r="F34" s="24">
        <f t="shared" si="16"/>
        <v>300</v>
      </c>
      <c r="G34" s="24">
        <f t="shared" si="16"/>
        <v>300</v>
      </c>
      <c r="H34" s="24">
        <f t="shared" si="16"/>
        <v>300</v>
      </c>
      <c r="I34" s="24">
        <f t="shared" si="16"/>
        <v>300</v>
      </c>
      <c r="J34" s="24">
        <f t="shared" si="16"/>
        <v>300</v>
      </c>
      <c r="K34" s="24">
        <f t="shared" si="16"/>
        <v>300</v>
      </c>
      <c r="L34" s="24">
        <f t="shared" si="16"/>
        <v>300</v>
      </c>
      <c r="M34" s="24">
        <f t="shared" si="16"/>
        <v>300</v>
      </c>
      <c r="N34" s="24">
        <f t="shared" ref="N34:N46" si="19">(((((((((((B34)+(C34))+(D34))+(E34))+(F34))+(G34))+(H34))+(I34))+(J34))+(K34))+(L34))+(M34)</f>
        <v>3600</v>
      </c>
      <c r="O34" s="25">
        <v>2413.37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46" t="s">
        <v>34</v>
      </c>
      <c r="B35" s="24">
        <v>0.0</v>
      </c>
      <c r="C35" s="24">
        <v>0.0</v>
      </c>
      <c r="D35" s="24">
        <v>100.0</v>
      </c>
      <c r="E35" s="24">
        <v>0.0</v>
      </c>
      <c r="F35" s="24">
        <f t="shared" ref="F35:G35" si="17">0</f>
        <v>0</v>
      </c>
      <c r="G35" s="24">
        <f t="shared" si="17"/>
        <v>0</v>
      </c>
      <c r="H35" s="24">
        <v>100.0</v>
      </c>
      <c r="I35" s="24">
        <f t="shared" ref="I35:K35" si="18">0</f>
        <v>0</v>
      </c>
      <c r="J35" s="24">
        <f t="shared" si="18"/>
        <v>0</v>
      </c>
      <c r="K35" s="24">
        <f t="shared" si="18"/>
        <v>0</v>
      </c>
      <c r="L35" s="24">
        <v>100.0</v>
      </c>
      <c r="M35" s="24">
        <f>0</f>
        <v>0</v>
      </c>
      <c r="N35" s="24">
        <f t="shared" si="19"/>
        <v>300</v>
      </c>
      <c r="O35" s="25">
        <f>155.58</f>
        <v>155.58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46" t="s">
        <v>35</v>
      </c>
      <c r="B36" s="25">
        <v>50.0</v>
      </c>
      <c r="C36" s="24">
        <f t="shared" ref="C36:M36" si="20">B36</f>
        <v>50</v>
      </c>
      <c r="D36" s="24">
        <f t="shared" si="20"/>
        <v>50</v>
      </c>
      <c r="E36" s="24">
        <f t="shared" si="20"/>
        <v>50</v>
      </c>
      <c r="F36" s="24">
        <f t="shared" si="20"/>
        <v>50</v>
      </c>
      <c r="G36" s="24">
        <f t="shared" si="20"/>
        <v>50</v>
      </c>
      <c r="H36" s="24">
        <f t="shared" si="20"/>
        <v>50</v>
      </c>
      <c r="I36" s="24">
        <f t="shared" si="20"/>
        <v>50</v>
      </c>
      <c r="J36" s="24">
        <f t="shared" si="20"/>
        <v>50</v>
      </c>
      <c r="K36" s="24">
        <f t="shared" si="20"/>
        <v>50</v>
      </c>
      <c r="L36" s="24">
        <f t="shared" si="20"/>
        <v>50</v>
      </c>
      <c r="M36" s="24">
        <f t="shared" si="20"/>
        <v>50</v>
      </c>
      <c r="N36" s="24">
        <f t="shared" si="19"/>
        <v>600</v>
      </c>
      <c r="O36" s="25">
        <v>600.0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46" t="s">
        <v>36</v>
      </c>
      <c r="B37" s="25">
        <v>450.0</v>
      </c>
      <c r="C37" s="24">
        <f t="shared" ref="C37:M37" si="21">B37</f>
        <v>450</v>
      </c>
      <c r="D37" s="24">
        <f t="shared" si="21"/>
        <v>450</v>
      </c>
      <c r="E37" s="24">
        <f t="shared" si="21"/>
        <v>450</v>
      </c>
      <c r="F37" s="24">
        <f t="shared" si="21"/>
        <v>450</v>
      </c>
      <c r="G37" s="24">
        <f t="shared" si="21"/>
        <v>450</v>
      </c>
      <c r="H37" s="24">
        <f t="shared" si="21"/>
        <v>450</v>
      </c>
      <c r="I37" s="24">
        <f t="shared" si="21"/>
        <v>450</v>
      </c>
      <c r="J37" s="24">
        <f t="shared" si="21"/>
        <v>450</v>
      </c>
      <c r="K37" s="24">
        <f t="shared" si="21"/>
        <v>450</v>
      </c>
      <c r="L37" s="24">
        <f t="shared" si="21"/>
        <v>450</v>
      </c>
      <c r="M37" s="24">
        <f t="shared" si="21"/>
        <v>450</v>
      </c>
      <c r="N37" s="24">
        <f t="shared" si="19"/>
        <v>5400</v>
      </c>
      <c r="O37" s="25">
        <v>5850.0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46" t="s">
        <v>37</v>
      </c>
      <c r="B38" s="24">
        <v>0.0</v>
      </c>
      <c r="C38" s="24">
        <f t="shared" ref="C38:M38" si="22">B38</f>
        <v>0</v>
      </c>
      <c r="D38" s="24">
        <f t="shared" si="22"/>
        <v>0</v>
      </c>
      <c r="E38" s="24">
        <f t="shared" si="22"/>
        <v>0</v>
      </c>
      <c r="F38" s="24">
        <f t="shared" si="22"/>
        <v>0</v>
      </c>
      <c r="G38" s="24">
        <f t="shared" si="22"/>
        <v>0</v>
      </c>
      <c r="H38" s="24">
        <f t="shared" si="22"/>
        <v>0</v>
      </c>
      <c r="I38" s="24">
        <f t="shared" si="22"/>
        <v>0</v>
      </c>
      <c r="J38" s="24">
        <f t="shared" si="22"/>
        <v>0</v>
      </c>
      <c r="K38" s="24">
        <f t="shared" si="22"/>
        <v>0</v>
      </c>
      <c r="L38" s="24">
        <f t="shared" si="22"/>
        <v>0</v>
      </c>
      <c r="M38" s="24">
        <f t="shared" si="22"/>
        <v>0</v>
      </c>
      <c r="N38" s="24">
        <f t="shared" si="19"/>
        <v>0</v>
      </c>
      <c r="O38" s="2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40" t="s">
        <v>32</v>
      </c>
      <c r="B39" s="31">
        <f t="shared" ref="B39:M39" si="23">SUM(B34:B38)</f>
        <v>800</v>
      </c>
      <c r="C39" s="31">
        <f t="shared" si="23"/>
        <v>800</v>
      </c>
      <c r="D39" s="31">
        <f t="shared" si="23"/>
        <v>900</v>
      </c>
      <c r="E39" s="31">
        <f t="shared" si="23"/>
        <v>800</v>
      </c>
      <c r="F39" s="31">
        <f t="shared" si="23"/>
        <v>800</v>
      </c>
      <c r="G39" s="31">
        <f t="shared" si="23"/>
        <v>800</v>
      </c>
      <c r="H39" s="31">
        <f t="shared" si="23"/>
        <v>900</v>
      </c>
      <c r="I39" s="31">
        <f t="shared" si="23"/>
        <v>800</v>
      </c>
      <c r="J39" s="31">
        <f t="shared" si="23"/>
        <v>800</v>
      </c>
      <c r="K39" s="31">
        <f t="shared" si="23"/>
        <v>800</v>
      </c>
      <c r="L39" s="31">
        <f t="shared" si="23"/>
        <v>900</v>
      </c>
      <c r="M39" s="31">
        <f t="shared" si="23"/>
        <v>800</v>
      </c>
      <c r="N39" s="31">
        <f t="shared" si="19"/>
        <v>9900</v>
      </c>
      <c r="O39" s="31">
        <f>SUM(O34:O38)</f>
        <v>9018.95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40" t="s">
        <v>38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4">
        <f t="shared" si="19"/>
        <v>0</v>
      </c>
      <c r="O40" s="2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47" t="s">
        <v>39</v>
      </c>
      <c r="B41" s="25">
        <v>125.0</v>
      </c>
      <c r="C41" s="25">
        <v>125.0</v>
      </c>
      <c r="D41" s="25">
        <v>125.0</v>
      </c>
      <c r="E41" s="25">
        <v>125.0</v>
      </c>
      <c r="F41" s="25">
        <v>125.0</v>
      </c>
      <c r="G41" s="25">
        <v>125.0</v>
      </c>
      <c r="H41" s="25">
        <v>125.0</v>
      </c>
      <c r="I41" s="25">
        <v>125.0</v>
      </c>
      <c r="J41" s="25">
        <v>125.0</v>
      </c>
      <c r="K41" s="25">
        <v>125.0</v>
      </c>
      <c r="L41" s="25">
        <v>125.0</v>
      </c>
      <c r="M41" s="25">
        <v>125.0</v>
      </c>
      <c r="N41" s="24">
        <f t="shared" si="19"/>
        <v>1500</v>
      </c>
      <c r="O41" s="2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47" t="s">
        <v>40</v>
      </c>
      <c r="B42" s="24">
        <f t="shared" ref="B42:M42" si="24">IF(B30*0&lt;500,500,B30*0)</f>
        <v>500</v>
      </c>
      <c r="C42" s="24">
        <f t="shared" si="24"/>
        <v>500</v>
      </c>
      <c r="D42" s="24">
        <f t="shared" si="24"/>
        <v>500</v>
      </c>
      <c r="E42" s="24">
        <f t="shared" si="24"/>
        <v>500</v>
      </c>
      <c r="F42" s="24">
        <f t="shared" si="24"/>
        <v>500</v>
      </c>
      <c r="G42" s="24">
        <f t="shared" si="24"/>
        <v>500</v>
      </c>
      <c r="H42" s="24">
        <f t="shared" si="24"/>
        <v>500</v>
      </c>
      <c r="I42" s="24">
        <f t="shared" si="24"/>
        <v>500</v>
      </c>
      <c r="J42" s="24">
        <f t="shared" si="24"/>
        <v>500</v>
      </c>
      <c r="K42" s="24">
        <f t="shared" si="24"/>
        <v>500</v>
      </c>
      <c r="L42" s="24">
        <f t="shared" si="24"/>
        <v>500</v>
      </c>
      <c r="M42" s="24">
        <f t="shared" si="24"/>
        <v>500</v>
      </c>
      <c r="N42" s="24">
        <f t="shared" si="19"/>
        <v>6000</v>
      </c>
      <c r="O42" s="25">
        <v>5571.21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47" t="s">
        <v>41</v>
      </c>
      <c r="B43" s="25">
        <v>150.0</v>
      </c>
      <c r="C43" s="25">
        <v>150.0</v>
      </c>
      <c r="D43" s="25">
        <v>150.0</v>
      </c>
      <c r="E43" s="25">
        <v>150.0</v>
      </c>
      <c r="F43" s="25">
        <v>150.0</v>
      </c>
      <c r="G43" s="25">
        <v>150.0</v>
      </c>
      <c r="H43" s="25">
        <v>150.0</v>
      </c>
      <c r="I43" s="25">
        <v>150.0</v>
      </c>
      <c r="J43" s="25">
        <v>150.0</v>
      </c>
      <c r="K43" s="25">
        <v>150.0</v>
      </c>
      <c r="L43" s="25">
        <v>150.0</v>
      </c>
      <c r="M43" s="25">
        <v>150.0</v>
      </c>
      <c r="N43" s="24">
        <f t="shared" si="19"/>
        <v>1800</v>
      </c>
      <c r="O43" s="2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48" t="s">
        <v>42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5">
        <v>0.0</v>
      </c>
      <c r="J44" s="24">
        <v>0.0</v>
      </c>
      <c r="K44" s="24">
        <v>0.0</v>
      </c>
      <c r="L44" s="24">
        <v>0.0</v>
      </c>
      <c r="M44" s="24">
        <v>0.0</v>
      </c>
      <c r="N44" s="24">
        <f t="shared" si="19"/>
        <v>0</v>
      </c>
      <c r="O44" s="25">
        <v>880.0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47" t="s">
        <v>43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4">
        <v>0.0</v>
      </c>
      <c r="L45" s="24">
        <v>0.0</v>
      </c>
      <c r="M45" s="24">
        <v>0.0</v>
      </c>
      <c r="N45" s="24">
        <f t="shared" si="19"/>
        <v>0</v>
      </c>
      <c r="O45" s="2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0" t="s">
        <v>44</v>
      </c>
      <c r="B46" s="31">
        <f t="shared" ref="B46:M46" si="25">SUM(B41:B45)</f>
        <v>775</v>
      </c>
      <c r="C46" s="31">
        <f t="shared" si="25"/>
        <v>775</v>
      </c>
      <c r="D46" s="31">
        <f t="shared" si="25"/>
        <v>775</v>
      </c>
      <c r="E46" s="31">
        <f t="shared" si="25"/>
        <v>775</v>
      </c>
      <c r="F46" s="31">
        <f t="shared" si="25"/>
        <v>775</v>
      </c>
      <c r="G46" s="31">
        <f t="shared" si="25"/>
        <v>775</v>
      </c>
      <c r="H46" s="31">
        <f t="shared" si="25"/>
        <v>775</v>
      </c>
      <c r="I46" s="31">
        <f t="shared" si="25"/>
        <v>775</v>
      </c>
      <c r="J46" s="31">
        <f t="shared" si="25"/>
        <v>775</v>
      </c>
      <c r="K46" s="31">
        <f t="shared" si="25"/>
        <v>775</v>
      </c>
      <c r="L46" s="31">
        <f t="shared" si="25"/>
        <v>775</v>
      </c>
      <c r="M46" s="31">
        <f t="shared" si="25"/>
        <v>775</v>
      </c>
      <c r="N46" s="31">
        <f t="shared" si="19"/>
        <v>9300</v>
      </c>
      <c r="O46" s="31">
        <f>SUM(O41:O45)</f>
        <v>6451.21</v>
      </c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ht="14.25" customHeight="1">
      <c r="A47" s="40" t="s">
        <v>45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47" t="s">
        <v>46</v>
      </c>
      <c r="B48" s="24">
        <f t="shared" ref="B48:M48" si="26">B23*0.4</f>
        <v>0</v>
      </c>
      <c r="C48" s="24">
        <f t="shared" si="26"/>
        <v>0</v>
      </c>
      <c r="D48" s="24">
        <f t="shared" si="26"/>
        <v>0</v>
      </c>
      <c r="E48" s="24">
        <f t="shared" si="26"/>
        <v>0</v>
      </c>
      <c r="F48" s="24">
        <f t="shared" si="26"/>
        <v>0</v>
      </c>
      <c r="G48" s="24">
        <f t="shared" si="26"/>
        <v>0</v>
      </c>
      <c r="H48" s="24">
        <f t="shared" si="26"/>
        <v>0</v>
      </c>
      <c r="I48" s="24">
        <f t="shared" si="26"/>
        <v>0</v>
      </c>
      <c r="J48" s="24">
        <f t="shared" si="26"/>
        <v>0</v>
      </c>
      <c r="K48" s="24">
        <f t="shared" si="26"/>
        <v>0</v>
      </c>
      <c r="L48" s="24">
        <f t="shared" si="26"/>
        <v>0</v>
      </c>
      <c r="M48" s="24">
        <f t="shared" si="26"/>
        <v>0</v>
      </c>
      <c r="N48" s="24">
        <f t="shared" ref="N48:N54" si="27">(((((((((((B48)+(C48))+(D48))+(E48))+(F48))+(G48))+(H48))+(I48))+(J48))+(K48))+(L48))+(M48)</f>
        <v>0</v>
      </c>
      <c r="O48" s="2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47" t="s">
        <v>47</v>
      </c>
      <c r="B49" s="25">
        <v>125.0</v>
      </c>
      <c r="C49" s="25">
        <v>125.0</v>
      </c>
      <c r="D49" s="25">
        <v>125.0</v>
      </c>
      <c r="E49" s="25">
        <v>125.0</v>
      </c>
      <c r="F49" s="25">
        <v>125.0</v>
      </c>
      <c r="G49" s="25">
        <v>125.0</v>
      </c>
      <c r="H49" s="25">
        <v>125.0</v>
      </c>
      <c r="I49" s="25">
        <v>125.0</v>
      </c>
      <c r="J49" s="25">
        <v>125.0</v>
      </c>
      <c r="K49" s="25">
        <v>125.0</v>
      </c>
      <c r="L49" s="25">
        <v>125.0</v>
      </c>
      <c r="M49" s="25">
        <v>125.0</v>
      </c>
      <c r="N49" s="24">
        <f t="shared" si="27"/>
        <v>1500</v>
      </c>
      <c r="O49" s="25">
        <v>1707.0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47" t="s">
        <v>48</v>
      </c>
      <c r="B50" s="25">
        <v>100.0</v>
      </c>
      <c r="C50" s="25">
        <v>100.0</v>
      </c>
      <c r="D50" s="25">
        <v>100.0</v>
      </c>
      <c r="E50" s="25">
        <v>100.0</v>
      </c>
      <c r="F50" s="25">
        <v>100.0</v>
      </c>
      <c r="G50" s="25">
        <v>100.0</v>
      </c>
      <c r="H50" s="25">
        <v>100.0</v>
      </c>
      <c r="I50" s="25">
        <v>100.0</v>
      </c>
      <c r="J50" s="25">
        <v>100.0</v>
      </c>
      <c r="K50" s="25">
        <v>100.0</v>
      </c>
      <c r="L50" s="25">
        <v>100.0</v>
      </c>
      <c r="M50" s="25">
        <v>100.0</v>
      </c>
      <c r="N50" s="24">
        <f t="shared" si="27"/>
        <v>1200</v>
      </c>
      <c r="O50" s="25">
        <f>9.91+406.78</f>
        <v>416.69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48" t="s">
        <v>49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24">
        <f t="shared" si="27"/>
        <v>0</v>
      </c>
      <c r="O51" s="2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48" t="s">
        <v>50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24">
        <f t="shared" si="27"/>
        <v>0</v>
      </c>
      <c r="O52" s="2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48" t="s">
        <v>50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24">
        <f t="shared" si="27"/>
        <v>0</v>
      </c>
      <c r="O53" s="2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40" t="s">
        <v>51</v>
      </c>
      <c r="B54" s="31">
        <f t="shared" ref="B54:M54" si="28">SUM(B48:B53)</f>
        <v>225</v>
      </c>
      <c r="C54" s="31">
        <f t="shared" si="28"/>
        <v>225</v>
      </c>
      <c r="D54" s="31">
        <f t="shared" si="28"/>
        <v>225</v>
      </c>
      <c r="E54" s="31">
        <f t="shared" si="28"/>
        <v>225</v>
      </c>
      <c r="F54" s="31">
        <f t="shared" si="28"/>
        <v>225</v>
      </c>
      <c r="G54" s="31">
        <f t="shared" si="28"/>
        <v>225</v>
      </c>
      <c r="H54" s="31">
        <f t="shared" si="28"/>
        <v>225</v>
      </c>
      <c r="I54" s="31">
        <f t="shared" si="28"/>
        <v>225</v>
      </c>
      <c r="J54" s="31">
        <f t="shared" si="28"/>
        <v>225</v>
      </c>
      <c r="K54" s="31">
        <f t="shared" si="28"/>
        <v>225</v>
      </c>
      <c r="L54" s="31">
        <f t="shared" si="28"/>
        <v>225</v>
      </c>
      <c r="M54" s="31">
        <f t="shared" si="28"/>
        <v>225</v>
      </c>
      <c r="N54" s="31">
        <f t="shared" si="27"/>
        <v>2700</v>
      </c>
      <c r="O54" s="31">
        <f>SUM(O48:O53)</f>
        <v>2123.69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40" t="s">
        <v>52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47" t="s">
        <v>53</v>
      </c>
      <c r="B56" s="25">
        <v>50.0</v>
      </c>
      <c r="C56" s="25">
        <v>50.0</v>
      </c>
      <c r="D56" s="25">
        <v>50.0</v>
      </c>
      <c r="E56" s="25">
        <v>50.0</v>
      </c>
      <c r="F56" s="25">
        <v>50.0</v>
      </c>
      <c r="G56" s="25">
        <v>50.0</v>
      </c>
      <c r="H56" s="25">
        <v>50.0</v>
      </c>
      <c r="I56" s="25">
        <v>50.0</v>
      </c>
      <c r="J56" s="25">
        <v>50.0</v>
      </c>
      <c r="K56" s="25">
        <v>50.0</v>
      </c>
      <c r="L56" s="25">
        <v>50.0</v>
      </c>
      <c r="M56" s="25">
        <v>50.0</v>
      </c>
      <c r="N56" s="24">
        <f t="shared" ref="N56:N57" si="29">(((((((((((B56)+(C56))+(D56))+(E56))+(F56))+(G56))+(H56))+(I56))+(J56))+(K56))+(L56))+(M56)</f>
        <v>600</v>
      </c>
      <c r="O56" s="25">
        <v>73.92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48" t="s">
        <v>54</v>
      </c>
      <c r="B57" s="25">
        <v>50.0</v>
      </c>
      <c r="C57" s="25">
        <v>50.0</v>
      </c>
      <c r="D57" s="25">
        <v>50.0</v>
      </c>
      <c r="E57" s="25">
        <v>50.0</v>
      </c>
      <c r="F57" s="25">
        <v>50.0</v>
      </c>
      <c r="G57" s="25">
        <v>50.0</v>
      </c>
      <c r="H57" s="25">
        <v>50.0</v>
      </c>
      <c r="I57" s="25">
        <v>50.0</v>
      </c>
      <c r="J57" s="25">
        <v>50.0</v>
      </c>
      <c r="K57" s="25">
        <v>50.0</v>
      </c>
      <c r="L57" s="25">
        <v>50.0</v>
      </c>
      <c r="M57" s="25">
        <v>50.0</v>
      </c>
      <c r="N57" s="24">
        <f t="shared" si="29"/>
        <v>600</v>
      </c>
      <c r="O57" s="25">
        <f>34.29+50</f>
        <v>84.29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47" t="s">
        <v>55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47" t="s">
        <v>56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47" t="s">
        <v>57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47" t="s">
        <v>58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47" t="s">
        <v>59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4">
        <f t="shared" ref="N62:N63" si="30">(((((((((((B62)+(C62))+(D62))+(E62))+(F62))+(G62))+(H62))+(I62))+(J62))+(K62))+(L62))+(M62)</f>
        <v>0</v>
      </c>
      <c r="O62" s="2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47" t="s">
        <v>60</v>
      </c>
      <c r="B63" s="25">
        <v>50.0</v>
      </c>
      <c r="C63" s="25">
        <v>50.0</v>
      </c>
      <c r="D63" s="25">
        <v>50.0</v>
      </c>
      <c r="E63" s="25">
        <v>50.0</v>
      </c>
      <c r="F63" s="25">
        <v>50.0</v>
      </c>
      <c r="G63" s="25">
        <v>50.0</v>
      </c>
      <c r="H63" s="25">
        <v>50.0</v>
      </c>
      <c r="I63" s="25">
        <v>50.0</v>
      </c>
      <c r="J63" s="25">
        <v>50.0</v>
      </c>
      <c r="K63" s="25">
        <v>50.0</v>
      </c>
      <c r="L63" s="25">
        <v>50.0</v>
      </c>
      <c r="M63" s="25">
        <v>50.0</v>
      </c>
      <c r="N63" s="24">
        <f t="shared" si="30"/>
        <v>600</v>
      </c>
      <c r="O63" s="2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47" t="s">
        <v>61</v>
      </c>
      <c r="B64" s="41"/>
      <c r="D64" s="41"/>
      <c r="E64" s="41"/>
      <c r="F64" s="41"/>
      <c r="G64" s="41"/>
      <c r="H64" s="41"/>
      <c r="I64" s="41"/>
      <c r="J64" s="41"/>
      <c r="K64" s="41"/>
      <c r="L64" s="41"/>
      <c r="M64" s="21"/>
      <c r="N64" s="21"/>
      <c r="O64" s="2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40" t="s">
        <v>62</v>
      </c>
      <c r="B65" s="31">
        <f t="shared" ref="B65:M65" si="31">SUM(B56:B64)</f>
        <v>150</v>
      </c>
      <c r="C65" s="31">
        <f t="shared" si="31"/>
        <v>150</v>
      </c>
      <c r="D65" s="31">
        <f t="shared" si="31"/>
        <v>150</v>
      </c>
      <c r="E65" s="31">
        <f t="shared" si="31"/>
        <v>150</v>
      </c>
      <c r="F65" s="31">
        <f t="shared" si="31"/>
        <v>150</v>
      </c>
      <c r="G65" s="31">
        <f t="shared" si="31"/>
        <v>150</v>
      </c>
      <c r="H65" s="31">
        <f t="shared" si="31"/>
        <v>150</v>
      </c>
      <c r="I65" s="31">
        <f t="shared" si="31"/>
        <v>150</v>
      </c>
      <c r="J65" s="31">
        <f t="shared" si="31"/>
        <v>150</v>
      </c>
      <c r="K65" s="31">
        <f t="shared" si="31"/>
        <v>150</v>
      </c>
      <c r="L65" s="31">
        <f t="shared" si="31"/>
        <v>150</v>
      </c>
      <c r="M65" s="31">
        <f t="shared" si="31"/>
        <v>150</v>
      </c>
      <c r="N65" s="31">
        <f>(((((((((((B65)+(C65))+(D65))+(E65))+(F65))+(G65))+(H65))+(I65))+(J65))+(K65))+(L65))+(M65)</f>
        <v>1800</v>
      </c>
      <c r="O65" s="31">
        <f>SUM(O56:O64)</f>
        <v>158.21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40" t="s">
        <v>63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47" t="s">
        <v>64</v>
      </c>
      <c r="B67" s="24">
        <v>0.0</v>
      </c>
      <c r="C67" s="24">
        <f t="shared" ref="C67:M67" si="32">B67</f>
        <v>0</v>
      </c>
      <c r="D67" s="24">
        <f t="shared" si="32"/>
        <v>0</v>
      </c>
      <c r="E67" s="24">
        <f t="shared" si="32"/>
        <v>0</v>
      </c>
      <c r="F67" s="24">
        <f t="shared" si="32"/>
        <v>0</v>
      </c>
      <c r="G67" s="24">
        <f t="shared" si="32"/>
        <v>0</v>
      </c>
      <c r="H67" s="24">
        <f t="shared" si="32"/>
        <v>0</v>
      </c>
      <c r="I67" s="24">
        <f t="shared" si="32"/>
        <v>0</v>
      </c>
      <c r="J67" s="24">
        <f t="shared" si="32"/>
        <v>0</v>
      </c>
      <c r="K67" s="24">
        <f t="shared" si="32"/>
        <v>0</v>
      </c>
      <c r="L67" s="24">
        <f t="shared" si="32"/>
        <v>0</v>
      </c>
      <c r="M67" s="24">
        <f t="shared" si="32"/>
        <v>0</v>
      </c>
      <c r="N67" s="24">
        <f>(((((((((((B67)+(C67))+(D67))+(E67))+(F67))+(G67))+(H67))+(I67))+(J67))+(K67))+(L67))+(M67)</f>
        <v>0</v>
      </c>
      <c r="O67" s="25">
        <v>74.98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47" t="s">
        <v>65</v>
      </c>
      <c r="B68" s="24">
        <f t="shared" ref="B68:M68" si="33">B30*0.027</f>
        <v>727.0649856</v>
      </c>
      <c r="C68" s="24">
        <f t="shared" si="33"/>
        <v>736.3304855</v>
      </c>
      <c r="D68" s="24">
        <f t="shared" si="33"/>
        <v>741.9264604</v>
      </c>
      <c r="E68" s="24">
        <f t="shared" si="33"/>
        <v>747.2426365</v>
      </c>
      <c r="F68" s="24">
        <f t="shared" si="33"/>
        <v>801.118003</v>
      </c>
      <c r="G68" s="24">
        <f t="shared" si="33"/>
        <v>797.062102</v>
      </c>
      <c r="H68" s="24">
        <f t="shared" si="33"/>
        <v>799.6214961</v>
      </c>
      <c r="I68" s="24">
        <f t="shared" si="33"/>
        <v>802.0529204</v>
      </c>
      <c r="J68" s="24">
        <f t="shared" si="33"/>
        <v>804.3627736</v>
      </c>
      <c r="K68" s="24">
        <f t="shared" si="33"/>
        <v>806.5571341</v>
      </c>
      <c r="L68" s="24">
        <f t="shared" si="33"/>
        <v>808.6417765</v>
      </c>
      <c r="M68" s="24">
        <f t="shared" si="33"/>
        <v>810.6221869</v>
      </c>
      <c r="N68" s="24">
        <f>N30*0.02</f>
        <v>6950.076267</v>
      </c>
      <c r="O68" s="25">
        <v>5797.0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40" t="s">
        <v>66</v>
      </c>
      <c r="B69" s="31">
        <f t="shared" ref="B69:M69" si="34">SUM(B67:B68)</f>
        <v>727.0649856</v>
      </c>
      <c r="C69" s="31">
        <f t="shared" si="34"/>
        <v>736.3304855</v>
      </c>
      <c r="D69" s="31">
        <f t="shared" si="34"/>
        <v>741.9264604</v>
      </c>
      <c r="E69" s="31">
        <f t="shared" si="34"/>
        <v>747.2426365</v>
      </c>
      <c r="F69" s="31">
        <f t="shared" si="34"/>
        <v>801.118003</v>
      </c>
      <c r="G69" s="31">
        <f t="shared" si="34"/>
        <v>797.062102</v>
      </c>
      <c r="H69" s="31">
        <f t="shared" si="34"/>
        <v>799.6214961</v>
      </c>
      <c r="I69" s="31">
        <f t="shared" si="34"/>
        <v>802.0529204</v>
      </c>
      <c r="J69" s="31">
        <f t="shared" si="34"/>
        <v>804.3627736</v>
      </c>
      <c r="K69" s="31">
        <f t="shared" si="34"/>
        <v>806.5571341</v>
      </c>
      <c r="L69" s="31">
        <f t="shared" si="34"/>
        <v>808.6417765</v>
      </c>
      <c r="M69" s="31">
        <f t="shared" si="34"/>
        <v>810.6221869</v>
      </c>
      <c r="N69" s="31">
        <f>(((((((((((B69)+(C69))+(D69))+(E69))+(F69))+(G69))+(H69))+(I69))+(J69))+(K69))+(L69))+(M69)</f>
        <v>9382.602961</v>
      </c>
      <c r="O69" s="31">
        <f>SUM(O67:O68)</f>
        <v>5871.98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40" t="s">
        <v>67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47" t="s">
        <v>68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4">
        <f t="shared" ref="N71:N76" si="35">(((((((((((B71)+(C71))+(D71))+(E71))+(F71))+(G71))+(H71))+(I71))+(J71))+(K71))+(L71))+(M71)</f>
        <v>0</v>
      </c>
      <c r="O71" s="2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47" t="s">
        <v>69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4">
        <f t="shared" si="35"/>
        <v>0</v>
      </c>
      <c r="O72" s="2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47" t="s">
        <v>70</v>
      </c>
      <c r="B73" s="24">
        <v>80.0</v>
      </c>
      <c r="C73" s="24">
        <v>80.0</v>
      </c>
      <c r="D73" s="24">
        <v>80.0</v>
      </c>
      <c r="E73" s="24">
        <v>80.0</v>
      </c>
      <c r="F73" s="24">
        <v>80.0</v>
      </c>
      <c r="G73" s="24">
        <v>80.0</v>
      </c>
      <c r="H73" s="24">
        <v>80.0</v>
      </c>
      <c r="I73" s="24">
        <v>80.0</v>
      </c>
      <c r="J73" s="24">
        <v>80.0</v>
      </c>
      <c r="K73" s="24">
        <v>80.0</v>
      </c>
      <c r="L73" s="24">
        <v>80.0</v>
      </c>
      <c r="M73" s="24">
        <v>80.0</v>
      </c>
      <c r="N73" s="24">
        <f t="shared" si="35"/>
        <v>960</v>
      </c>
      <c r="O73" s="2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47" t="s">
        <v>71</v>
      </c>
      <c r="B74" s="24">
        <v>63.0</v>
      </c>
      <c r="C74" s="24">
        <v>63.0</v>
      </c>
      <c r="D74" s="24">
        <v>63.0</v>
      </c>
      <c r="E74" s="24">
        <v>63.0</v>
      </c>
      <c r="F74" s="24">
        <v>63.0</v>
      </c>
      <c r="G74" s="24">
        <v>63.0</v>
      </c>
      <c r="H74" s="24">
        <v>63.0</v>
      </c>
      <c r="I74" s="24">
        <v>63.0</v>
      </c>
      <c r="J74" s="24">
        <v>63.0</v>
      </c>
      <c r="K74" s="24">
        <v>63.0</v>
      </c>
      <c r="L74" s="24">
        <v>63.0</v>
      </c>
      <c r="M74" s="24">
        <v>63.0</v>
      </c>
      <c r="N74" s="24">
        <f t="shared" si="35"/>
        <v>756</v>
      </c>
      <c r="O74" s="2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47" t="s">
        <v>72</v>
      </c>
      <c r="B75" s="25">
        <v>236.0</v>
      </c>
      <c r="C75" s="24">
        <f t="shared" ref="C75:M75" si="36">B75</f>
        <v>236</v>
      </c>
      <c r="D75" s="24">
        <f t="shared" si="36"/>
        <v>236</v>
      </c>
      <c r="E75" s="24">
        <f t="shared" si="36"/>
        <v>236</v>
      </c>
      <c r="F75" s="24">
        <f t="shared" si="36"/>
        <v>236</v>
      </c>
      <c r="G75" s="24">
        <f t="shared" si="36"/>
        <v>236</v>
      </c>
      <c r="H75" s="24">
        <f t="shared" si="36"/>
        <v>236</v>
      </c>
      <c r="I75" s="24">
        <f t="shared" si="36"/>
        <v>236</v>
      </c>
      <c r="J75" s="24">
        <f t="shared" si="36"/>
        <v>236</v>
      </c>
      <c r="K75" s="24">
        <f t="shared" si="36"/>
        <v>236</v>
      </c>
      <c r="L75" s="24">
        <f t="shared" si="36"/>
        <v>236</v>
      </c>
      <c r="M75" s="24">
        <f t="shared" si="36"/>
        <v>236</v>
      </c>
      <c r="N75" s="24">
        <f t="shared" si="35"/>
        <v>2832</v>
      </c>
      <c r="O75" s="25">
        <f>777.76+2485.22</f>
        <v>3262.98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40" t="s">
        <v>73</v>
      </c>
      <c r="B76" s="31">
        <f t="shared" ref="B76:M76" si="37">SUM(B71:B75)</f>
        <v>379</v>
      </c>
      <c r="C76" s="31">
        <f t="shared" si="37"/>
        <v>379</v>
      </c>
      <c r="D76" s="31">
        <f t="shared" si="37"/>
        <v>379</v>
      </c>
      <c r="E76" s="31">
        <f t="shared" si="37"/>
        <v>379</v>
      </c>
      <c r="F76" s="31">
        <f t="shared" si="37"/>
        <v>379</v>
      </c>
      <c r="G76" s="31">
        <f t="shared" si="37"/>
        <v>379</v>
      </c>
      <c r="H76" s="31">
        <f t="shared" si="37"/>
        <v>379</v>
      </c>
      <c r="I76" s="31">
        <f t="shared" si="37"/>
        <v>379</v>
      </c>
      <c r="J76" s="31">
        <f t="shared" si="37"/>
        <v>379</v>
      </c>
      <c r="K76" s="31">
        <f t="shared" si="37"/>
        <v>379</v>
      </c>
      <c r="L76" s="31">
        <f t="shared" si="37"/>
        <v>379</v>
      </c>
      <c r="M76" s="31">
        <f t="shared" si="37"/>
        <v>379</v>
      </c>
      <c r="N76" s="31">
        <f t="shared" si="35"/>
        <v>4548</v>
      </c>
      <c r="O76" s="31">
        <f>SUM(O71:O75)</f>
        <v>3262.98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32" t="s">
        <v>74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47" t="s">
        <v>75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4">
        <f t="shared" ref="N78:N85" si="38">(((((((((((B78)+(C78))+(D78))+(E78))+(F78))+(G78))+(H78))+(I78))+(J78))+(K78))+(L78))+(M78)</f>
        <v>0</v>
      </c>
      <c r="O78" s="21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47" t="s">
        <v>76</v>
      </c>
      <c r="B79" s="25">
        <v>10.0</v>
      </c>
      <c r="C79" s="25">
        <v>10.0</v>
      </c>
      <c r="D79" s="25">
        <v>10.0</v>
      </c>
      <c r="E79" s="25">
        <v>10.0</v>
      </c>
      <c r="F79" s="25">
        <v>10.0</v>
      </c>
      <c r="G79" s="25">
        <v>10.0</v>
      </c>
      <c r="H79" s="25">
        <v>10.0</v>
      </c>
      <c r="I79" s="25">
        <v>10.0</v>
      </c>
      <c r="J79" s="25">
        <v>10.0</v>
      </c>
      <c r="K79" s="25">
        <v>10.0</v>
      </c>
      <c r="L79" s="25">
        <v>10.0</v>
      </c>
      <c r="M79" s="25">
        <v>10.0</v>
      </c>
      <c r="N79" s="24">
        <f t="shared" si="38"/>
        <v>120</v>
      </c>
      <c r="O79" s="25">
        <v>90.0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47" t="s">
        <v>77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4">
        <f t="shared" si="38"/>
        <v>0</v>
      </c>
      <c r="O80" s="2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47" t="s">
        <v>78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4">
        <f t="shared" si="38"/>
        <v>0</v>
      </c>
      <c r="O81" s="2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47" t="s">
        <v>79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4">
        <f t="shared" si="38"/>
        <v>0</v>
      </c>
      <c r="O82" s="21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47" t="s">
        <v>80</v>
      </c>
      <c r="B83" s="25">
        <v>950.0</v>
      </c>
      <c r="C83" s="24">
        <f t="shared" ref="C83:M83" si="39">B83</f>
        <v>950</v>
      </c>
      <c r="D83" s="24">
        <f t="shared" si="39"/>
        <v>950</v>
      </c>
      <c r="E83" s="24">
        <f t="shared" si="39"/>
        <v>950</v>
      </c>
      <c r="F83" s="24">
        <f t="shared" si="39"/>
        <v>950</v>
      </c>
      <c r="G83" s="24">
        <f t="shared" si="39"/>
        <v>950</v>
      </c>
      <c r="H83" s="24">
        <f t="shared" si="39"/>
        <v>950</v>
      </c>
      <c r="I83" s="24">
        <f t="shared" si="39"/>
        <v>950</v>
      </c>
      <c r="J83" s="24">
        <f t="shared" si="39"/>
        <v>950</v>
      </c>
      <c r="K83" s="24">
        <f t="shared" si="39"/>
        <v>950</v>
      </c>
      <c r="L83" s="24">
        <f t="shared" si="39"/>
        <v>950</v>
      </c>
      <c r="M83" s="24">
        <f t="shared" si="39"/>
        <v>950</v>
      </c>
      <c r="N83" s="24">
        <f t="shared" si="38"/>
        <v>11400</v>
      </c>
      <c r="O83" s="25">
        <v>10990.26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47" t="s">
        <v>81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4">
        <f t="shared" si="38"/>
        <v>0</v>
      </c>
      <c r="O84" s="2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40" t="s">
        <v>82</v>
      </c>
      <c r="B85" s="31">
        <f t="shared" ref="B85:M85" si="40">SUM(B78:B84)</f>
        <v>960</v>
      </c>
      <c r="C85" s="31">
        <f t="shared" si="40"/>
        <v>960</v>
      </c>
      <c r="D85" s="31">
        <f t="shared" si="40"/>
        <v>960</v>
      </c>
      <c r="E85" s="31">
        <f t="shared" si="40"/>
        <v>960</v>
      </c>
      <c r="F85" s="31">
        <f t="shared" si="40"/>
        <v>960</v>
      </c>
      <c r="G85" s="31">
        <f t="shared" si="40"/>
        <v>960</v>
      </c>
      <c r="H85" s="31">
        <f t="shared" si="40"/>
        <v>960</v>
      </c>
      <c r="I85" s="31">
        <f t="shared" si="40"/>
        <v>960</v>
      </c>
      <c r="J85" s="31">
        <f t="shared" si="40"/>
        <v>960</v>
      </c>
      <c r="K85" s="31">
        <f t="shared" si="40"/>
        <v>960</v>
      </c>
      <c r="L85" s="31">
        <f t="shared" si="40"/>
        <v>960</v>
      </c>
      <c r="M85" s="31">
        <f t="shared" si="40"/>
        <v>960</v>
      </c>
      <c r="N85" s="31">
        <f t="shared" si="38"/>
        <v>11520</v>
      </c>
      <c r="O85" s="31">
        <f>SUM(O78:O84)</f>
        <v>11080.26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40" t="s">
        <v>83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47" t="s">
        <v>84</v>
      </c>
      <c r="B87" s="25">
        <v>297.05</v>
      </c>
      <c r="C87" s="25">
        <v>297.05</v>
      </c>
      <c r="D87" s="25">
        <v>297.05</v>
      </c>
      <c r="E87" s="25">
        <v>297.05</v>
      </c>
      <c r="F87" s="25">
        <v>297.05</v>
      </c>
      <c r="G87" s="25">
        <v>297.05</v>
      </c>
      <c r="H87" s="25">
        <v>297.05</v>
      </c>
      <c r="I87" s="25">
        <v>297.05</v>
      </c>
      <c r="J87" s="25">
        <v>297.05</v>
      </c>
      <c r="K87" s="25">
        <v>297.05</v>
      </c>
      <c r="L87" s="25">
        <v>297.05</v>
      </c>
      <c r="M87" s="25">
        <v>297.05</v>
      </c>
      <c r="N87" s="24">
        <f t="shared" ref="N87:N89" si="42">(((((((((((B87)+(C87))+(D87))+(E87))+(F87))+(G87))+(H87))+(I87))+(J87))+(K87))+(L87))+(M87)</f>
        <v>3564.6</v>
      </c>
      <c r="O87" s="25">
        <v>3564.6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47" t="s">
        <v>85</v>
      </c>
      <c r="B88" s="25">
        <f t="shared" ref="B88:M88" si="41">8775/12</f>
        <v>731.25</v>
      </c>
      <c r="C88" s="25">
        <f t="shared" si="41"/>
        <v>731.25</v>
      </c>
      <c r="D88" s="25">
        <f t="shared" si="41"/>
        <v>731.25</v>
      </c>
      <c r="E88" s="25">
        <f t="shared" si="41"/>
        <v>731.25</v>
      </c>
      <c r="F88" s="25">
        <f t="shared" si="41"/>
        <v>731.25</v>
      </c>
      <c r="G88" s="25">
        <f t="shared" si="41"/>
        <v>731.25</v>
      </c>
      <c r="H88" s="25">
        <f t="shared" si="41"/>
        <v>731.25</v>
      </c>
      <c r="I88" s="25">
        <f t="shared" si="41"/>
        <v>731.25</v>
      </c>
      <c r="J88" s="25">
        <f t="shared" si="41"/>
        <v>731.25</v>
      </c>
      <c r="K88" s="25">
        <f t="shared" si="41"/>
        <v>731.25</v>
      </c>
      <c r="L88" s="25">
        <f t="shared" si="41"/>
        <v>731.25</v>
      </c>
      <c r="M88" s="25">
        <f t="shared" si="41"/>
        <v>731.25</v>
      </c>
      <c r="N88" s="24">
        <f t="shared" si="42"/>
        <v>8775</v>
      </c>
      <c r="O88" s="25">
        <v>8775.0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40" t="s">
        <v>86</v>
      </c>
      <c r="B89" s="31">
        <f t="shared" ref="B89:M89" si="43">SUM(B87:B88)</f>
        <v>1028.3</v>
      </c>
      <c r="C89" s="31">
        <f t="shared" si="43"/>
        <v>1028.3</v>
      </c>
      <c r="D89" s="31">
        <f t="shared" si="43"/>
        <v>1028.3</v>
      </c>
      <c r="E89" s="31">
        <f t="shared" si="43"/>
        <v>1028.3</v>
      </c>
      <c r="F89" s="31">
        <f t="shared" si="43"/>
        <v>1028.3</v>
      </c>
      <c r="G89" s="31">
        <f t="shared" si="43"/>
        <v>1028.3</v>
      </c>
      <c r="H89" s="31">
        <f t="shared" si="43"/>
        <v>1028.3</v>
      </c>
      <c r="I89" s="31">
        <f t="shared" si="43"/>
        <v>1028.3</v>
      </c>
      <c r="J89" s="31">
        <f t="shared" si="43"/>
        <v>1028.3</v>
      </c>
      <c r="K89" s="31">
        <f t="shared" si="43"/>
        <v>1028.3</v>
      </c>
      <c r="L89" s="31">
        <f t="shared" si="43"/>
        <v>1028.3</v>
      </c>
      <c r="M89" s="31">
        <f t="shared" si="43"/>
        <v>1028.3</v>
      </c>
      <c r="N89" s="31">
        <f t="shared" si="42"/>
        <v>12339.6</v>
      </c>
      <c r="O89" s="31">
        <f>SUM(O87:O88)</f>
        <v>12339.6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40" t="s">
        <v>87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47" t="s">
        <v>88</v>
      </c>
      <c r="B91" s="24">
        <v>40.0</v>
      </c>
      <c r="C91" s="24">
        <v>40.0</v>
      </c>
      <c r="D91" s="24">
        <v>40.0</v>
      </c>
      <c r="E91" s="24">
        <v>40.0</v>
      </c>
      <c r="F91" s="24">
        <v>40.0</v>
      </c>
      <c r="G91" s="24">
        <v>40.0</v>
      </c>
      <c r="H91" s="24">
        <v>40.0</v>
      </c>
      <c r="I91" s="24">
        <v>40.0</v>
      </c>
      <c r="J91" s="24">
        <v>40.0</v>
      </c>
      <c r="K91" s="24">
        <v>40.0</v>
      </c>
      <c r="L91" s="24">
        <v>40.0</v>
      </c>
      <c r="M91" s="24">
        <v>40.0</v>
      </c>
      <c r="N91" s="24">
        <f t="shared" ref="N91:N100" si="44">(((((((((((B91)+(C91))+(D91))+(E91))+(F91))+(G91))+(H91))+(I91))+(J91))+(K91))+(L91))+(M91)</f>
        <v>480</v>
      </c>
      <c r="O91" s="2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47" t="s">
        <v>89</v>
      </c>
      <c r="B92" s="25">
        <v>139.34</v>
      </c>
      <c r="C92" s="25">
        <v>139.34</v>
      </c>
      <c r="D92" s="25">
        <v>139.34</v>
      </c>
      <c r="E92" s="25">
        <v>139.34</v>
      </c>
      <c r="F92" s="25">
        <v>139.34</v>
      </c>
      <c r="G92" s="25">
        <v>139.34</v>
      </c>
      <c r="H92" s="25">
        <v>139.34</v>
      </c>
      <c r="I92" s="25">
        <v>139.34</v>
      </c>
      <c r="J92" s="25">
        <v>139.34</v>
      </c>
      <c r="K92" s="25">
        <v>139.34</v>
      </c>
      <c r="L92" s="25">
        <v>139.34</v>
      </c>
      <c r="M92" s="25">
        <v>139.34</v>
      </c>
      <c r="N92" s="24">
        <f t="shared" si="44"/>
        <v>1672.08</v>
      </c>
      <c r="O92" s="25">
        <v>1669.06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47" t="s">
        <v>90</v>
      </c>
      <c r="B93" s="25">
        <v>100.0</v>
      </c>
      <c r="C93" s="25">
        <v>100.0</v>
      </c>
      <c r="D93" s="25">
        <v>100.0</v>
      </c>
      <c r="E93" s="25">
        <v>100.0</v>
      </c>
      <c r="F93" s="25">
        <v>100.0</v>
      </c>
      <c r="G93" s="25">
        <v>100.0</v>
      </c>
      <c r="H93" s="25">
        <v>100.0</v>
      </c>
      <c r="I93" s="25">
        <v>100.0</v>
      </c>
      <c r="J93" s="25">
        <v>100.0</v>
      </c>
      <c r="K93" s="25">
        <v>100.0</v>
      </c>
      <c r="L93" s="25">
        <v>100.0</v>
      </c>
      <c r="M93" s="25">
        <v>100.0</v>
      </c>
      <c r="N93" s="24">
        <f t="shared" si="44"/>
        <v>1200</v>
      </c>
      <c r="O93" s="25">
        <v>1158.74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47" t="s">
        <v>91</v>
      </c>
      <c r="B94" s="25">
        <v>63.85</v>
      </c>
      <c r="C94" s="25">
        <v>63.85</v>
      </c>
      <c r="D94" s="25">
        <v>63.85</v>
      </c>
      <c r="E94" s="25">
        <v>63.85</v>
      </c>
      <c r="F94" s="25">
        <v>63.85</v>
      </c>
      <c r="G94" s="25">
        <v>63.85</v>
      </c>
      <c r="H94" s="25">
        <v>63.85</v>
      </c>
      <c r="I94" s="25">
        <v>63.85</v>
      </c>
      <c r="J94" s="25">
        <v>63.85</v>
      </c>
      <c r="K94" s="25">
        <v>63.85</v>
      </c>
      <c r="L94" s="25">
        <v>63.85</v>
      </c>
      <c r="M94" s="25">
        <v>63.85</v>
      </c>
      <c r="N94" s="24">
        <f t="shared" si="44"/>
        <v>766.2</v>
      </c>
      <c r="O94" s="25">
        <v>764.55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47" t="s">
        <v>92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4">
        <f t="shared" si="44"/>
        <v>0</v>
      </c>
      <c r="O95" s="21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47" t="s">
        <v>93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4">
        <f t="shared" si="44"/>
        <v>0</v>
      </c>
      <c r="O96" s="21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47" t="s">
        <v>94</v>
      </c>
      <c r="B97" s="25">
        <v>50.0</v>
      </c>
      <c r="C97" s="25">
        <v>50.0</v>
      </c>
      <c r="D97" s="25">
        <v>50.0</v>
      </c>
      <c r="E97" s="25">
        <v>50.0</v>
      </c>
      <c r="F97" s="25">
        <v>50.0</v>
      </c>
      <c r="G97" s="25">
        <v>50.0</v>
      </c>
      <c r="H97" s="25">
        <v>50.0</v>
      </c>
      <c r="I97" s="25">
        <v>50.0</v>
      </c>
      <c r="J97" s="25">
        <v>50.0</v>
      </c>
      <c r="K97" s="25">
        <v>50.0</v>
      </c>
      <c r="L97" s="25">
        <v>50.0</v>
      </c>
      <c r="M97" s="25">
        <v>50.0</v>
      </c>
      <c r="N97" s="24">
        <f t="shared" si="44"/>
        <v>600</v>
      </c>
      <c r="O97" s="51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40" t="s">
        <v>95</v>
      </c>
      <c r="B98" s="31">
        <f t="shared" ref="B98:M98" si="45">SUM(B91:B97)</f>
        <v>393.19</v>
      </c>
      <c r="C98" s="31">
        <f t="shared" si="45"/>
        <v>393.19</v>
      </c>
      <c r="D98" s="31">
        <f t="shared" si="45"/>
        <v>393.19</v>
      </c>
      <c r="E98" s="31">
        <f t="shared" si="45"/>
        <v>393.19</v>
      </c>
      <c r="F98" s="31">
        <f t="shared" si="45"/>
        <v>393.19</v>
      </c>
      <c r="G98" s="31">
        <f t="shared" si="45"/>
        <v>393.19</v>
      </c>
      <c r="H98" s="31">
        <f t="shared" si="45"/>
        <v>393.19</v>
      </c>
      <c r="I98" s="31">
        <f t="shared" si="45"/>
        <v>393.19</v>
      </c>
      <c r="J98" s="31">
        <f t="shared" si="45"/>
        <v>393.19</v>
      </c>
      <c r="K98" s="31">
        <f t="shared" si="45"/>
        <v>393.19</v>
      </c>
      <c r="L98" s="31">
        <f t="shared" si="45"/>
        <v>393.19</v>
      </c>
      <c r="M98" s="31">
        <f t="shared" si="45"/>
        <v>393.19</v>
      </c>
      <c r="N98" s="31">
        <f t="shared" si="44"/>
        <v>4718.28</v>
      </c>
      <c r="O98" s="31">
        <f>SUM(O91:O97)</f>
        <v>3592.35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40" t="s">
        <v>96</v>
      </c>
      <c r="B99" s="31">
        <f t="shared" ref="B99:M99" si="46">B39+B46+B54+B65+B69+B76+B85+B89+B98</f>
        <v>5437.554986</v>
      </c>
      <c r="C99" s="31">
        <f t="shared" si="46"/>
        <v>5446.820485</v>
      </c>
      <c r="D99" s="31">
        <f t="shared" si="46"/>
        <v>5552.41646</v>
      </c>
      <c r="E99" s="31">
        <f t="shared" si="46"/>
        <v>5457.732637</v>
      </c>
      <c r="F99" s="31">
        <f t="shared" si="46"/>
        <v>5511.608003</v>
      </c>
      <c r="G99" s="31">
        <f t="shared" si="46"/>
        <v>5507.552102</v>
      </c>
      <c r="H99" s="31">
        <f t="shared" si="46"/>
        <v>5610.111496</v>
      </c>
      <c r="I99" s="31">
        <f t="shared" si="46"/>
        <v>5512.54292</v>
      </c>
      <c r="J99" s="31">
        <f t="shared" si="46"/>
        <v>5514.852774</v>
      </c>
      <c r="K99" s="31">
        <f t="shared" si="46"/>
        <v>5517.047134</v>
      </c>
      <c r="L99" s="31">
        <f t="shared" si="46"/>
        <v>5619.131777</v>
      </c>
      <c r="M99" s="31">
        <f t="shared" si="46"/>
        <v>5521.112187</v>
      </c>
      <c r="N99" s="31">
        <f t="shared" si="44"/>
        <v>66208.48296</v>
      </c>
      <c r="O99" s="31">
        <f>O39+O46+O54+O65+O69+O76+O85+O89+O98</f>
        <v>53899.23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40" t="s">
        <v>97</v>
      </c>
      <c r="B100" s="52">
        <f t="shared" ref="B100:M100" si="47">B30-B99</f>
        <v>21490.77781</v>
      </c>
      <c r="C100" s="52">
        <f t="shared" si="47"/>
        <v>21824.67898</v>
      </c>
      <c r="D100" s="52">
        <f t="shared" si="47"/>
        <v>21926.34133</v>
      </c>
      <c r="E100" s="52">
        <f t="shared" si="47"/>
        <v>22217.92057</v>
      </c>
      <c r="F100" s="52">
        <f t="shared" si="47"/>
        <v>24159.42915</v>
      </c>
      <c r="G100" s="52">
        <f t="shared" si="47"/>
        <v>24013.26649</v>
      </c>
      <c r="H100" s="52">
        <f t="shared" si="47"/>
        <v>24005.49947</v>
      </c>
      <c r="I100" s="52">
        <f t="shared" si="47"/>
        <v>24193.1208</v>
      </c>
      <c r="J100" s="52">
        <f t="shared" si="47"/>
        <v>24276.36106</v>
      </c>
      <c r="K100" s="52">
        <f t="shared" si="47"/>
        <v>24355.43931</v>
      </c>
      <c r="L100" s="52">
        <f t="shared" si="47"/>
        <v>24330.56365</v>
      </c>
      <c r="M100" s="52">
        <f t="shared" si="47"/>
        <v>24501.93177</v>
      </c>
      <c r="N100" s="52">
        <f t="shared" si="44"/>
        <v>281295.3304</v>
      </c>
      <c r="O100" s="52">
        <f>O30-O99</f>
        <v>234137.62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41"/>
      <c r="B101" s="41"/>
      <c r="C101" s="5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53" t="s">
        <v>98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48" t="s">
        <v>99</v>
      </c>
      <c r="B103" s="25">
        <v>0.01</v>
      </c>
      <c r="C103" s="25">
        <v>0.01</v>
      </c>
      <c r="D103" s="25">
        <v>0.01</v>
      </c>
      <c r="E103" s="25">
        <v>0.01</v>
      </c>
      <c r="F103" s="25">
        <v>0.01</v>
      </c>
      <c r="G103" s="25">
        <v>0.01</v>
      </c>
      <c r="H103" s="25">
        <v>0.01</v>
      </c>
      <c r="I103" s="25">
        <v>0.01</v>
      </c>
      <c r="J103" s="25">
        <v>0.01</v>
      </c>
      <c r="K103" s="25">
        <v>0.01</v>
      </c>
      <c r="L103" s="25">
        <v>0.01</v>
      </c>
      <c r="M103" s="25">
        <v>0.01</v>
      </c>
      <c r="N103" s="24">
        <f t="shared" ref="N103:N104" si="49">(((((((((((B103)+(C103))+(D103))+(E103))+(F103))+(G103))+(H103))+(I103))+(J103))+(K103))+(L103))+(M103)</f>
        <v>0.12</v>
      </c>
      <c r="O103" s="25">
        <v>0.11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53" t="s">
        <v>100</v>
      </c>
      <c r="B104" s="31">
        <f t="shared" ref="B104:M104" si="48">SUM(B103)</f>
        <v>0.01</v>
      </c>
      <c r="C104" s="31">
        <f t="shared" si="48"/>
        <v>0.01</v>
      </c>
      <c r="D104" s="31">
        <f t="shared" si="48"/>
        <v>0.01</v>
      </c>
      <c r="E104" s="31">
        <f t="shared" si="48"/>
        <v>0.01</v>
      </c>
      <c r="F104" s="31">
        <f t="shared" si="48"/>
        <v>0.01</v>
      </c>
      <c r="G104" s="31">
        <f t="shared" si="48"/>
        <v>0.01</v>
      </c>
      <c r="H104" s="31">
        <f t="shared" si="48"/>
        <v>0.01</v>
      </c>
      <c r="I104" s="31">
        <f t="shared" si="48"/>
        <v>0.01</v>
      </c>
      <c r="J104" s="31">
        <f t="shared" si="48"/>
        <v>0.01</v>
      </c>
      <c r="K104" s="31">
        <f t="shared" si="48"/>
        <v>0.01</v>
      </c>
      <c r="L104" s="31">
        <f t="shared" si="48"/>
        <v>0.01</v>
      </c>
      <c r="M104" s="31">
        <f t="shared" si="48"/>
        <v>0.01</v>
      </c>
      <c r="N104" s="31">
        <f t="shared" si="49"/>
        <v>0.12</v>
      </c>
      <c r="O104" s="31">
        <f>SUM(O103)</f>
        <v>0.11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53" t="s">
        <v>101</v>
      </c>
      <c r="B105" s="54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48" t="s">
        <v>102</v>
      </c>
      <c r="B106" s="25">
        <v>10015.0</v>
      </c>
      <c r="C106" s="25">
        <v>10015.0</v>
      </c>
      <c r="D106" s="25">
        <v>10015.0</v>
      </c>
      <c r="E106" s="25">
        <v>10015.0</v>
      </c>
      <c r="F106" s="25">
        <v>10015.0</v>
      </c>
      <c r="G106" s="25">
        <v>10015.0</v>
      </c>
      <c r="H106" s="25">
        <v>10015.0</v>
      </c>
      <c r="I106" s="25">
        <v>10015.0</v>
      </c>
      <c r="J106" s="25">
        <v>10015.0</v>
      </c>
      <c r="K106" s="25">
        <v>10015.0</v>
      </c>
      <c r="L106" s="25">
        <v>10015.0</v>
      </c>
      <c r="M106" s="25">
        <v>10015.0</v>
      </c>
      <c r="N106" s="24">
        <f t="shared" ref="N106:N109" si="51">(((((((((((B106)+(C106))+(D106))+(E106))+(F106))+(G106))+(H106))+(I106))+(J106))+(K106))+(L106))+(M106)</f>
        <v>120180</v>
      </c>
      <c r="O106" s="25">
        <v>120180.0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53" t="s">
        <v>103</v>
      </c>
      <c r="B107" s="31">
        <f t="shared" ref="B107:M107" si="50">SUM(B106)</f>
        <v>10015</v>
      </c>
      <c r="C107" s="31">
        <f t="shared" si="50"/>
        <v>10015</v>
      </c>
      <c r="D107" s="31">
        <f t="shared" si="50"/>
        <v>10015</v>
      </c>
      <c r="E107" s="31">
        <f t="shared" si="50"/>
        <v>10015</v>
      </c>
      <c r="F107" s="31">
        <f t="shared" si="50"/>
        <v>10015</v>
      </c>
      <c r="G107" s="31">
        <f t="shared" si="50"/>
        <v>10015</v>
      </c>
      <c r="H107" s="31">
        <f t="shared" si="50"/>
        <v>10015</v>
      </c>
      <c r="I107" s="31">
        <f t="shared" si="50"/>
        <v>10015</v>
      </c>
      <c r="J107" s="31">
        <f t="shared" si="50"/>
        <v>10015</v>
      </c>
      <c r="K107" s="31">
        <f t="shared" si="50"/>
        <v>10015</v>
      </c>
      <c r="L107" s="31">
        <f t="shared" si="50"/>
        <v>10015</v>
      </c>
      <c r="M107" s="31">
        <f t="shared" si="50"/>
        <v>10015</v>
      </c>
      <c r="N107" s="31">
        <f t="shared" si="51"/>
        <v>120180</v>
      </c>
      <c r="O107" s="31">
        <f>SUM(O106)</f>
        <v>120180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40" t="s">
        <v>104</v>
      </c>
      <c r="B108" s="31">
        <f t="shared" ref="B108:M108" si="52">B107-B104</f>
        <v>10014.99</v>
      </c>
      <c r="C108" s="31">
        <f t="shared" si="52"/>
        <v>10014.99</v>
      </c>
      <c r="D108" s="31">
        <f t="shared" si="52"/>
        <v>10014.99</v>
      </c>
      <c r="E108" s="31">
        <f t="shared" si="52"/>
        <v>10014.99</v>
      </c>
      <c r="F108" s="31">
        <f t="shared" si="52"/>
        <v>10014.99</v>
      </c>
      <c r="G108" s="31">
        <f t="shared" si="52"/>
        <v>10014.99</v>
      </c>
      <c r="H108" s="31">
        <f t="shared" si="52"/>
        <v>10014.99</v>
      </c>
      <c r="I108" s="31">
        <f t="shared" si="52"/>
        <v>10014.99</v>
      </c>
      <c r="J108" s="31">
        <f t="shared" si="52"/>
        <v>10014.99</v>
      </c>
      <c r="K108" s="31">
        <f t="shared" si="52"/>
        <v>10014.99</v>
      </c>
      <c r="L108" s="31">
        <f t="shared" si="52"/>
        <v>10014.99</v>
      </c>
      <c r="M108" s="31">
        <f t="shared" si="52"/>
        <v>10014.99</v>
      </c>
      <c r="N108" s="31">
        <f t="shared" si="51"/>
        <v>120179.88</v>
      </c>
      <c r="O108" s="31">
        <f>O107-O104</f>
        <v>120179.89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40" t="s">
        <v>105</v>
      </c>
      <c r="B109" s="52">
        <f t="shared" ref="B109:M109" si="53">B100-B108</f>
        <v>11475.78781</v>
      </c>
      <c r="C109" s="52">
        <f t="shared" si="53"/>
        <v>11809.68898</v>
      </c>
      <c r="D109" s="52">
        <f t="shared" si="53"/>
        <v>11911.35133</v>
      </c>
      <c r="E109" s="52">
        <f t="shared" si="53"/>
        <v>12202.93057</v>
      </c>
      <c r="F109" s="52">
        <f t="shared" si="53"/>
        <v>14144.43915</v>
      </c>
      <c r="G109" s="52">
        <f t="shared" si="53"/>
        <v>13998.27649</v>
      </c>
      <c r="H109" s="52">
        <f t="shared" si="53"/>
        <v>13990.50947</v>
      </c>
      <c r="I109" s="52">
        <f t="shared" si="53"/>
        <v>14178.1308</v>
      </c>
      <c r="J109" s="52">
        <f t="shared" si="53"/>
        <v>14261.37106</v>
      </c>
      <c r="K109" s="52">
        <f t="shared" si="53"/>
        <v>14340.44931</v>
      </c>
      <c r="L109" s="52">
        <f t="shared" si="53"/>
        <v>14315.57365</v>
      </c>
      <c r="M109" s="52">
        <f t="shared" si="53"/>
        <v>14486.94177</v>
      </c>
      <c r="N109" s="52">
        <f t="shared" si="51"/>
        <v>161115.4504</v>
      </c>
      <c r="O109" s="52">
        <f>O100-O108</f>
        <v>113957.73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</sheetData>
  <mergeCells count="5">
    <mergeCell ref="A1:N1"/>
    <mergeCell ref="A2:N2"/>
    <mergeCell ref="A3:N3"/>
    <mergeCell ref="A10:C10"/>
    <mergeCell ref="A32:C32"/>
  </mergeCells>
  <printOptions horizontalCentered="1"/>
  <pageMargins bottom="0.75" footer="0.0" header="0.0" left="0.7" right="0.7" top="0.75"/>
  <pageSetup orientation="landscape"/>
  <rowBreaks count="1" manualBreakCount="1">
    <brk id="44" man="1"/>
  </rowBreaks>
  <drawing r:id="rId1"/>
</worksheet>
</file>