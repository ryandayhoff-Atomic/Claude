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- Topeka" sheetId="1" r:id="rId5"/>
    <sheet state="visible" name="Budget - Tyler" sheetId="2" r:id="rId6"/>
    <sheet state="visible" name="Budget - Grantvill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tc={7336e855-6b37-4a42-a589-e324aab937bf}</author>
  </authors>
  <commentList>
    <comment authorId="0" xr:uid="{7336e855-6b37-4a42-a589-e324aab937bf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@magen@atomicstoragegroup.com Gary approved a $600 budget
Assigned to magen@atomicstoragegroup.com
</t>
      </text>
    </comment>
  </commentList>
</comments>
</file>

<file path=xl/sharedStrings.xml><?xml version="1.0" encoding="utf-8"?>
<sst xmlns="http://schemas.openxmlformats.org/spreadsheetml/2006/main" count="348" uniqueCount="116">
  <si>
    <t>Topeka Self Storage</t>
  </si>
  <si>
    <t>Budget</t>
  </si>
  <si>
    <t>January - December  2026</t>
  </si>
  <si>
    <t xml:space="preserve">Rented </t>
  </si>
  <si>
    <t xml:space="preserve">Vacated </t>
  </si>
  <si>
    <t xml:space="preserve">Net occupied </t>
  </si>
  <si>
    <t xml:space="preserve">% occupied </t>
  </si>
  <si>
    <t>T12 Actual</t>
  </si>
  <si>
    <t>Total</t>
  </si>
  <si>
    <t>10/1/2024 - 9/30/2025</t>
  </si>
  <si>
    <t xml:space="preserve">Revenue Projection </t>
  </si>
  <si>
    <t xml:space="preserve">   Rent Income</t>
  </si>
  <si>
    <t xml:space="preserve">   Other Rent Income</t>
  </si>
  <si>
    <t xml:space="preserve">Total Rental Income </t>
  </si>
  <si>
    <t xml:space="preserve">Fee Income </t>
  </si>
  <si>
    <t xml:space="preserve">      Admin Fees</t>
  </si>
  <si>
    <t xml:space="preserve">      Late Fee Income</t>
  </si>
  <si>
    <t xml:space="preserve">      Convenience Fee</t>
  </si>
  <si>
    <t xml:space="preserve">      General Fee Income </t>
  </si>
  <si>
    <t xml:space="preserve">      Other Fee</t>
  </si>
  <si>
    <t xml:space="preserve">Total Fee Income </t>
  </si>
  <si>
    <t xml:space="preserve">Ancillary Income </t>
  </si>
  <si>
    <t xml:space="preserve">   Merchandise Income</t>
  </si>
  <si>
    <t xml:space="preserve">   Tenant Protection</t>
  </si>
  <si>
    <t xml:space="preserve">   Truck Rentals</t>
  </si>
  <si>
    <t xml:space="preserve">   Propane Sales</t>
  </si>
  <si>
    <t xml:space="preserve">   Other Income Sources</t>
  </si>
  <si>
    <t>Total Ancillary Income</t>
  </si>
  <si>
    <t xml:space="preserve">Total Revenue </t>
  </si>
  <si>
    <t xml:space="preserve">Expense Projection </t>
  </si>
  <si>
    <t>Advertising/Marketing</t>
  </si>
  <si>
    <t>PPC (payperclick)</t>
  </si>
  <si>
    <t>Print Materials</t>
  </si>
  <si>
    <t>Reputation &amp; Social</t>
  </si>
  <si>
    <t>Website</t>
  </si>
  <si>
    <t>Sparefoot</t>
  </si>
  <si>
    <t xml:space="preserve">   Legal &amp; Professional Fees</t>
  </si>
  <si>
    <t>Auction Expenses</t>
  </si>
  <si>
    <t>Management Services</t>
  </si>
  <si>
    <t>Call Center</t>
  </si>
  <si>
    <t>Legal Fees</t>
  </si>
  <si>
    <t>Accounting Fees</t>
  </si>
  <si>
    <t xml:space="preserve">   Total Legal &amp; Professional Fees</t>
  </si>
  <si>
    <t xml:space="preserve">   Office/Site</t>
  </si>
  <si>
    <t>Cost of Merchandise Sold</t>
  </si>
  <si>
    <t>Site Supplies</t>
  </si>
  <si>
    <t>Office Supplies</t>
  </si>
  <si>
    <t>Business Licenses</t>
  </si>
  <si>
    <t xml:space="preserve">   Total Office/Site</t>
  </si>
  <si>
    <t xml:space="preserve">   Repairs and Maintenance</t>
  </si>
  <si>
    <t>Lawn/Snow</t>
  </si>
  <si>
    <t>Elevator</t>
  </si>
  <si>
    <t>Gate &amp; Fence</t>
  </si>
  <si>
    <t xml:space="preserve">Unit Doors </t>
  </si>
  <si>
    <t>Security System</t>
  </si>
  <si>
    <t>HVAC</t>
  </si>
  <si>
    <t xml:space="preserve">Pest Control </t>
  </si>
  <si>
    <t xml:space="preserve">Site </t>
  </si>
  <si>
    <t>Trash Hauling</t>
  </si>
  <si>
    <t xml:space="preserve">   Total Repairs and Maintenance</t>
  </si>
  <si>
    <t xml:space="preserve">   Service Charges</t>
  </si>
  <si>
    <t>Bank Service Charges</t>
  </si>
  <si>
    <t>Credit Card Service Fees</t>
  </si>
  <si>
    <t xml:space="preserve">   Total Service Charges</t>
  </si>
  <si>
    <t xml:space="preserve">   Software </t>
  </si>
  <si>
    <t>Gate Software</t>
  </si>
  <si>
    <t xml:space="preserve">Collection Software </t>
  </si>
  <si>
    <t>Accounting/BillPay Software</t>
  </si>
  <si>
    <t>Other Software (Swivel)</t>
  </si>
  <si>
    <t>Storage Software</t>
  </si>
  <si>
    <t xml:space="preserve">   Total Software</t>
  </si>
  <si>
    <t xml:space="preserve">   Staffing</t>
  </si>
  <si>
    <t>Mileage</t>
  </si>
  <si>
    <t>Payroll Processing</t>
  </si>
  <si>
    <t>Payroll Taxes</t>
  </si>
  <si>
    <t>Staff Costs</t>
  </si>
  <si>
    <t xml:space="preserve">Health Insurance </t>
  </si>
  <si>
    <t>Salary/Wages</t>
  </si>
  <si>
    <t>Workers Comp</t>
  </si>
  <si>
    <t xml:space="preserve">   Total Staffing</t>
  </si>
  <si>
    <t xml:space="preserve">Taxes &amp; Insurance </t>
  </si>
  <si>
    <t>Insurance - Prop &amp; GL</t>
  </si>
  <si>
    <t>Taxes-Property</t>
  </si>
  <si>
    <t xml:space="preserve">   Total Taxes &amp; Insurance </t>
  </si>
  <si>
    <t xml:space="preserve">   Utilities</t>
  </si>
  <si>
    <t>Telephone</t>
  </si>
  <si>
    <t>Internet</t>
  </si>
  <si>
    <t>Electricity</t>
  </si>
  <si>
    <t>Water &amp; Sewer</t>
  </si>
  <si>
    <t>Gas</t>
  </si>
  <si>
    <t>Stormwater</t>
  </si>
  <si>
    <t>Trash/Disposal</t>
  </si>
  <si>
    <t xml:space="preserve">   Total Utilities</t>
  </si>
  <si>
    <t>Total Expenses</t>
  </si>
  <si>
    <t xml:space="preserve">Net Operating Income </t>
  </si>
  <si>
    <t xml:space="preserve">   Other Income/Expenses</t>
  </si>
  <si>
    <t>Bonus</t>
  </si>
  <si>
    <t>Travel Meals/Hotels</t>
  </si>
  <si>
    <t xml:space="preserve">Interest on Owner Loan </t>
  </si>
  <si>
    <t xml:space="preserve">Amortization </t>
  </si>
  <si>
    <t>Depreciation</t>
  </si>
  <si>
    <t xml:space="preserve">   Total Other Income/Expenses </t>
  </si>
  <si>
    <t xml:space="preserve">   Mortgage Payments - BFN</t>
  </si>
  <si>
    <t xml:space="preserve">Bank Loan 3492 </t>
  </si>
  <si>
    <t>Bank Loan Interest 3492</t>
  </si>
  <si>
    <t xml:space="preserve">   Total Mortgage Payments - BFN</t>
  </si>
  <si>
    <t xml:space="preserve">   Mortgage Payments - SBA</t>
  </si>
  <si>
    <t>SBA 9108</t>
  </si>
  <si>
    <t>SBA Loan Fees</t>
  </si>
  <si>
    <t>SBA Loan Interest 9108</t>
  </si>
  <si>
    <t xml:space="preserve">   Total Mortgage Payments - SBA</t>
  </si>
  <si>
    <t>Total Other Income/Expenses</t>
  </si>
  <si>
    <t>Net Income</t>
  </si>
  <si>
    <t>Topeka Self Storage - Tyler</t>
  </si>
  <si>
    <t>Net Operating Income</t>
  </si>
  <si>
    <t xml:space="preserve">Topeka Self Storage - Grantville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</si>
</sst>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_);_(&quot;$&quot;* \(#,##0\);_(&quot;$&quot;* &quot;-&quot;??_);_(@_)"/>
    <numFmt numFmtId="165" formatCode="mmm yyyy"/>
    <numFmt numFmtId="166" formatCode="mmmm yyyy"/>
    <numFmt numFmtId="167" formatCode="#,##0\ _€"/>
    <numFmt numFmtId="168" formatCode="#,##0.00\ _€"/>
    <numFmt numFmtId="169" formatCode="&quot;$&quot;* #,##0.00\ _€"/>
    <numFmt numFmtId="170" formatCode="_(&quot;$&quot;* #,##0.00_);_(&quot;$&quot;* \(#,##0.00\);_(&quot;$&quot;* &quot;-&quot;??_);_(@_)"/>
    <numFmt numFmtId="171" formatCode="#,##0.00_);[Red](#,##0.00)"/>
    <numFmt numFmtId="172" formatCode="&quot;$&quot;* #,##0.00\ _€;[Red]&quot;$&quot;* -#,##0.00\ _€"/>
    <numFmt numFmtId="173" formatCode="#,##0.00_);(#,##0.00)"/>
  </numFmts>
  <fonts count="12">
    <font>
      <sz val="11.0"/>
      <color rgb="FF000000"/>
      <name val="Calibri"/>
      <scheme val="minor"/>
    </font>
    <font>
      <sz val="11.0"/>
      <color theme="1"/>
      <name val="Calibri"/>
    </font>
    <font>
      <b/>
      <sz val="14.0"/>
      <color theme="1"/>
      <name val="Arial"/>
    </font>
    <font>
      <b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b/>
      <i/>
      <sz val="9.0"/>
      <color theme="1"/>
      <name val="Arial"/>
    </font>
    <font>
      <b/>
      <sz val="9.0"/>
      <color rgb="FF0067B1"/>
      <name val="Arial"/>
    </font>
    <font>
      <b/>
      <sz val="8.0"/>
      <color rgb="FF0067B1"/>
      <name val="Arial"/>
    </font>
    <font>
      <b/>
      <sz val="8.0"/>
      <color theme="1"/>
      <name val="Arial"/>
    </font>
    <font>
      <b/>
      <sz val="8.0"/>
      <color rgb="FF0070C0"/>
      <name val="Arial"/>
    </font>
    <font>
      <i/>
      <sz val="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9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1" fillId="0" fontId="4" numFmtId="165" xfId="0" applyAlignment="1" applyBorder="1" applyFont="1" applyNumberFormat="1">
      <alignment horizontal="center" shrinkToFit="0" vertical="bottom" wrapText="1"/>
    </xf>
    <xf borderId="0" fillId="0" fontId="5" numFmtId="0" xfId="0" applyAlignment="1" applyFont="1">
      <alignment horizontal="right" vertical="bottom"/>
    </xf>
    <xf borderId="0" fillId="0" fontId="5" numFmtId="167" xfId="0" applyAlignment="1" applyFont="1" applyNumberFormat="1">
      <alignment horizontal="center" readingOrder="0" shrinkToFit="0" vertical="bottom" wrapText="1"/>
    </xf>
    <xf borderId="0" fillId="0" fontId="5" numFmtId="9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1" fillId="0" fontId="4" numFmtId="168" xfId="0" applyAlignment="1" applyBorder="1" applyFont="1" applyNumberFormat="1">
      <alignment horizontal="center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7" numFmtId="0" xfId="0" applyAlignment="1" applyFont="1">
      <alignment shrinkToFit="0" vertical="bottom" wrapText="1"/>
    </xf>
    <xf borderId="0" fillId="0" fontId="1" numFmtId="167" xfId="0" applyAlignment="1" applyFont="1" applyNumberFormat="1">
      <alignment vertical="bottom"/>
    </xf>
    <xf borderId="0" fillId="0" fontId="1" numFmtId="168" xfId="0" applyAlignment="1" applyFont="1" applyNumberFormat="1">
      <alignment vertical="bottom"/>
    </xf>
    <xf borderId="0" fillId="0" fontId="5" numFmtId="168" xfId="0" applyAlignment="1" applyFont="1" applyNumberFormat="1">
      <alignment shrinkToFit="0" vertical="bottom" wrapText="1"/>
    </xf>
    <xf borderId="0" fillId="0" fontId="5" numFmtId="168" xfId="0" applyAlignment="1" applyFont="1" applyNumberFormat="1">
      <alignment horizontal="right" shrinkToFit="0" vertical="bottom" wrapText="1"/>
    </xf>
    <xf borderId="0" fillId="0" fontId="5" numFmtId="167" xfId="0" applyAlignment="1" applyFont="1" applyNumberFormat="1">
      <alignment shrinkToFit="0" vertical="bottom" wrapText="1"/>
    </xf>
    <xf borderId="1" fillId="0" fontId="1" numFmtId="168" xfId="0" applyAlignment="1" applyBorder="1" applyFont="1" applyNumberFormat="1">
      <alignment vertical="bottom"/>
    </xf>
    <xf borderId="1" fillId="0" fontId="5" numFmtId="168" xfId="0" applyAlignment="1" applyBorder="1" applyFont="1" applyNumberFormat="1">
      <alignment horizontal="right" shrinkToFit="0" vertical="bottom" wrapText="1"/>
    </xf>
    <xf borderId="0" fillId="0" fontId="8" numFmtId="167" xfId="0" applyAlignment="1" applyFont="1" applyNumberFormat="1">
      <alignment shrinkToFit="0" vertical="bottom" wrapText="1"/>
    </xf>
    <xf borderId="0" fillId="0" fontId="8" numFmtId="168" xfId="0" applyAlignment="1" applyFont="1" applyNumberFormat="1">
      <alignment horizontal="right" shrinkToFit="0" vertical="bottom" wrapText="1"/>
    </xf>
    <xf borderId="2" fillId="0" fontId="8" numFmtId="169" xfId="0" applyAlignment="1" applyBorder="1" applyFont="1" applyNumberFormat="1">
      <alignment horizontal="right" shrinkToFit="0" vertical="bottom" wrapText="1"/>
    </xf>
    <xf borderId="0" fillId="0" fontId="8" numFmtId="170" xfId="0" applyAlignment="1" applyFont="1" applyNumberFormat="1">
      <alignment shrinkToFit="0" vertical="bottom" wrapText="1"/>
    </xf>
    <xf borderId="0" fillId="0" fontId="1" numFmtId="170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5" numFmtId="171" xfId="0" applyAlignment="1" applyFont="1" applyNumberFormat="1">
      <alignment shrinkToFit="0" vertical="bottom" wrapText="1"/>
    </xf>
    <xf borderId="0" fillId="0" fontId="5" numFmtId="168" xfId="0" applyAlignment="1" applyFont="1" applyNumberFormat="1">
      <alignment horizontal="right" readingOrder="0" shrinkToFit="0" vertical="bottom" wrapText="1"/>
    </xf>
    <xf borderId="0" fillId="0" fontId="5" numFmtId="171" xfId="0" applyAlignment="1" applyFont="1" applyNumberFormat="1">
      <alignment readingOrder="0" shrinkToFit="0" vertical="bottom" wrapText="1"/>
    </xf>
    <xf borderId="0" fillId="0" fontId="8" numFmtId="171" xfId="0" applyAlignment="1" applyFont="1" applyNumberFormat="1">
      <alignment shrinkToFit="0" vertical="bottom" wrapText="1"/>
    </xf>
    <xf borderId="0" fillId="0" fontId="1" numFmtId="171" xfId="0" applyAlignment="1" applyFont="1" applyNumberFormat="1">
      <alignment vertical="bottom"/>
    </xf>
    <xf borderId="0" fillId="0" fontId="5" numFmtId="170" xfId="0" applyAlignment="1" applyFont="1" applyNumberFormat="1">
      <alignment shrinkToFit="0" vertical="bottom" wrapText="1"/>
    </xf>
    <xf borderId="0" fillId="0" fontId="9" numFmtId="168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textRotation="0" vertical="bottom" wrapText="1"/>
    </xf>
    <xf borderId="0" fillId="0" fontId="5" numFmtId="49" xfId="0" applyAlignment="1" applyFont="1" applyNumberFormat="1">
      <alignment readingOrder="0" shrinkToFit="0" textRotation="0" vertical="bottom" wrapText="1"/>
    </xf>
    <xf borderId="0" fillId="0" fontId="5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readingOrder="0" shrinkToFit="0" vertical="bottom" wrapText="1"/>
    </xf>
    <xf borderId="0" fillId="0" fontId="1" numFmtId="169" xfId="0" applyAlignment="1" applyFont="1" applyNumberFormat="1">
      <alignment vertical="bottom"/>
    </xf>
    <xf borderId="3" fillId="0" fontId="8" numFmtId="172" xfId="0" applyAlignment="1" applyBorder="1" applyFont="1" applyNumberFormat="1">
      <alignment horizontal="left" readingOrder="0" shrinkToFit="0" vertical="bottom" wrapText="1"/>
    </xf>
    <xf borderId="3" fillId="0" fontId="8" numFmtId="172" xfId="0" applyAlignment="1" applyBorder="1" applyFont="1" applyNumberFormat="1">
      <alignment horizontal="right" shrinkToFit="0" vertical="bottom" wrapText="1"/>
    </xf>
    <xf borderId="3" fillId="0" fontId="8" numFmtId="169" xfId="0" applyAlignment="1" applyBorder="1" applyFont="1" applyNumberFormat="1">
      <alignment horizontal="right" shrinkToFit="0" vertical="bottom" wrapText="1"/>
    </xf>
    <xf borderId="0" fillId="0" fontId="8" numFmtId="171" xfId="0" applyAlignment="1" applyFont="1" applyNumberFormat="1">
      <alignment readingOrder="0" shrinkToFit="0" vertical="bottom" wrapText="1"/>
    </xf>
    <xf borderId="3" fillId="0" fontId="10" numFmtId="172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vertical="bottom"/>
    </xf>
    <xf borderId="0" fillId="0" fontId="5" numFmtId="167" xfId="0" applyAlignment="1" applyFont="1" applyNumberFormat="1">
      <alignment horizontal="center" shrinkToFit="0" vertical="bottom" wrapText="1"/>
    </xf>
    <xf borderId="0" fillId="0" fontId="5" numFmtId="167" xfId="0" applyAlignment="1" applyFont="1" applyNumberFormat="1">
      <alignment horizontal="center" readingOrder="0" vertical="bottom"/>
    </xf>
    <xf borderId="0" fillId="0" fontId="5" numFmtId="167" xfId="0" applyAlignment="1" applyFont="1" applyNumberFormat="1">
      <alignment horizontal="center" vertical="bottom"/>
    </xf>
    <xf borderId="0" fillId="0" fontId="5" numFmtId="171" xfId="0" applyAlignment="1" applyFont="1" applyNumberFormat="1">
      <alignment horizontal="right" shrinkToFit="0" vertical="bottom" wrapText="1"/>
    </xf>
    <xf borderId="0" fillId="0" fontId="5" numFmtId="173" xfId="0" applyAlignment="1" applyFont="1" applyNumberFormat="1">
      <alignment horizontal="right" shrinkToFit="0" vertical="bottom" wrapText="1"/>
    </xf>
    <xf borderId="0" fillId="0" fontId="11" numFmtId="168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637a361f-5577-43b3-af23-528607b21d6d}">
    <Anchor>
      <Comment id="{7336e855-6b37-4a42-a589-e324aab937bf}"/>
    </Anchor>
    <History>
      <Event time="2025-11-19T22:26:10.00" id="{c14b784c-3172-400f-92af-8eb8f1b9f5bd}">
        <Attribution userId="placeholder@email.com" userName="Ryan Bustamante" userProvider="google-sheets"/>
        <Anchor>
          <Comment id="{7336e855-6b37-4a42-a589-e324aab937bf}"/>
        </Anchor>
        <Create/>
      </Event>
      <Event time="2025-11-19T22:26:10.00" id="{7879cb04-7a6f-48a7-a612-5070e0307609}">
        <Attribution userId="placeholder@email.com" userName="Ryan Bustamante" userProvider="google-sheets"/>
        <Anchor>
          <Comment id="{7336e855-6b37-4a42-a589-e324aab937bf}"/>
        </Anchor>
        <Assign userId="magen@atomicstoragegroup.com" userName="magen@atomicstoragegroup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gen@atomicstoragegroup.com" id="{5c47337c-283a-45f4-85a6-49a5eb3d5272}" userId="magen@atomicstoragegroup.com" providerId="google-sheets"/>
  <x18tc:person displayName="Ryan Bustamante" id="{dc534854-3550-4c3d-8202-1bb17502976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5" dT="2025-11-19T22:26:10.00" personId="{dc534854-3550-4c3d-8202-1bb175029760}" id="{7336e855-6b37-4a42-a589-e324aab937bf}" done="1">
    <x18tc:text xml:space="preserve">@magen@atomicstoragegroup.com Gary approved a $600 budget
Assigned to magen@atomicstoragegroup.com</x18tc:text>
    <x18tc:mentions>
      <x18tc:mention mentionpersonId="{5c47337c-283a-45f4-85a6-49a5eb3d5272}" mentionId="{ea0fcc0d-be6f-46ea-a0a2-f2d050298cb0}" startIndex="0" length="2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2.29"/>
    <col customWidth="1" min="3" max="13" width="10.0"/>
    <col customWidth="1" min="14" max="14" width="10.86"/>
    <col customWidth="1" min="15" max="15" width="11.57"/>
    <col customWidth="1" min="16" max="17" width="8.86"/>
    <col customWidth="1" min="18" max="18" width="7.57"/>
    <col customWidth="1" min="19" max="28" width="8.71"/>
  </cols>
  <sheetData>
    <row r="1" ht="14.25" customHeight="1">
      <c r="A1" s="1"/>
      <c r="B1" s="2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" t="s">
        <v>1</v>
      </c>
      <c r="N2" s="1"/>
      <c r="O2" s="4"/>
      <c r="P2" s="5"/>
      <c r="Q2" s="4"/>
      <c r="R2" s="5"/>
      <c r="S2" s="4"/>
      <c r="T2" s="5"/>
      <c r="U2" s="5"/>
      <c r="V2" s="1"/>
      <c r="W2" s="1"/>
      <c r="X2" s="1"/>
      <c r="Y2" s="1"/>
      <c r="Z2" s="1"/>
      <c r="AA2" s="1"/>
      <c r="AB2" s="1"/>
    </row>
    <row r="3" ht="14.25" customHeight="1">
      <c r="A3" s="1"/>
      <c r="B3" s="6" t="s">
        <v>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4.25" customHeight="1">
      <c r="A4" s="1"/>
      <c r="B4" s="7"/>
      <c r="C4" s="7"/>
      <c r="D4" s="7"/>
      <c r="E4" s="7"/>
      <c r="F4" s="8"/>
      <c r="G4" s="7"/>
      <c r="H4" s="7"/>
      <c r="I4" s="7"/>
      <c r="J4" s="7"/>
      <c r="K4" s="7"/>
      <c r="L4" s="7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4.25" customHeight="1">
      <c r="A5" s="1"/>
      <c r="B5" s="9">
        <v>46023.0</v>
      </c>
      <c r="C5" s="9">
        <v>46054.0</v>
      </c>
      <c r="D5" s="9">
        <v>46082.0</v>
      </c>
      <c r="E5" s="9">
        <v>46113.0</v>
      </c>
      <c r="F5" s="9">
        <v>46143.0</v>
      </c>
      <c r="G5" s="9">
        <v>46174.0</v>
      </c>
      <c r="H5" s="9">
        <v>46204.0</v>
      </c>
      <c r="I5" s="9">
        <v>46235.0</v>
      </c>
      <c r="J5" s="9">
        <v>46266.0</v>
      </c>
      <c r="K5" s="9">
        <v>46296.0</v>
      </c>
      <c r="L5" s="9">
        <v>46327.0</v>
      </c>
      <c r="M5" s="9">
        <v>46357.0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4.25" customHeight="1">
      <c r="A6" s="10" t="s">
        <v>3</v>
      </c>
      <c r="B6" s="11">
        <f>'Budget - Grantville'!B6+'Budget - Tyler'!B6</f>
        <v>8</v>
      </c>
      <c r="C6" s="11">
        <f>'Budget - Grantville'!C6+'Budget - Tyler'!C6</f>
        <v>11</v>
      </c>
      <c r="D6" s="11">
        <f>'Budget - Grantville'!D6+'Budget - Tyler'!D6</f>
        <v>11</v>
      </c>
      <c r="E6" s="11">
        <f>'Budget - Grantville'!E6+'Budget - Tyler'!E6</f>
        <v>13</v>
      </c>
      <c r="F6" s="11">
        <f>'Budget - Grantville'!F6+'Budget - Tyler'!F6</f>
        <v>15</v>
      </c>
      <c r="G6" s="11">
        <f>'Budget - Grantville'!G6+'Budget - Tyler'!G6</f>
        <v>15</v>
      </c>
      <c r="H6" s="11">
        <f>'Budget - Grantville'!H6+'Budget - Tyler'!H6</f>
        <v>18</v>
      </c>
      <c r="I6" s="11">
        <f>'Budget - Grantville'!I6+'Budget - Tyler'!I6</f>
        <v>18</v>
      </c>
      <c r="J6" s="11">
        <f>'Budget - Grantville'!J6+'Budget - Tyler'!J6</f>
        <v>12</v>
      </c>
      <c r="K6" s="11">
        <f>'Budget - Grantville'!K6+'Budget - Tyler'!K6</f>
        <v>12</v>
      </c>
      <c r="L6" s="11">
        <f>'Budget - Grantville'!L6+'Budget - Tyler'!L6</f>
        <v>12</v>
      </c>
      <c r="M6" s="11">
        <f>'Budget - Grantville'!M6+'Budget - Tyler'!M6</f>
        <v>12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4.25" customHeight="1">
      <c r="A7" s="10" t="s">
        <v>4</v>
      </c>
      <c r="B7" s="11">
        <f>'Budget - Grantville'!B7+'Budget - Tyler'!B7</f>
        <v>10.56</v>
      </c>
      <c r="C7" s="11">
        <f>'Budget - Grantville'!C7+'Budget - Tyler'!C7</f>
        <v>12.32</v>
      </c>
      <c r="D7" s="11">
        <f>'Budget - Grantville'!D7+'Budget - Tyler'!D7</f>
        <v>12.2276</v>
      </c>
      <c r="E7" s="11">
        <f>'Budget - Grantville'!E7+'Budget - Tyler'!E7</f>
        <v>12.141668</v>
      </c>
      <c r="F7" s="11">
        <f>'Budget - Grantville'!F7+'Budget - Tyler'!F7</f>
        <v>12.20175124</v>
      </c>
      <c r="G7" s="11">
        <f>'Budget - Grantville'!G7+'Budget - Tyler'!G7</f>
        <v>12.39762865</v>
      </c>
      <c r="H7" s="11">
        <f>'Budget - Grantville'!H7+'Budget - Tyler'!H7</f>
        <v>12.57979465</v>
      </c>
      <c r="I7" s="11">
        <f>'Budget - Grantville'!I7+'Budget - Tyler'!I7</f>
        <v>12.95920902</v>
      </c>
      <c r="J7" s="11">
        <f>'Budget - Grantville'!J7+'Budget - Tyler'!J7</f>
        <v>13.31206439</v>
      </c>
      <c r="K7" s="11">
        <f>'Budget - Grantville'!K7+'Budget - Tyler'!K7</f>
        <v>13.22021988</v>
      </c>
      <c r="L7" s="11">
        <f>'Budget - Grantville'!L7+'Budget - Tyler'!L7</f>
        <v>13.13480449</v>
      </c>
      <c r="M7" s="11">
        <f>'Budget - Grantville'!M7+'Budget - Tyler'!M7</f>
        <v>11.9274995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4.25" customHeight="1">
      <c r="A8" s="10" t="s">
        <v>5</v>
      </c>
      <c r="B8" s="11">
        <f>'Budget - Grantville'!B8+'Budget - Tyler'!B8</f>
        <v>176</v>
      </c>
      <c r="C8" s="11">
        <f>'Budget - Grantville'!C8+'Budget - Tyler'!C8</f>
        <v>174.68</v>
      </c>
      <c r="D8" s="11">
        <f>'Budget - Grantville'!D8+'Budget - Tyler'!D8</f>
        <v>173.4524</v>
      </c>
      <c r="E8" s="11">
        <f>'Budget - Grantville'!E8+'Budget - Tyler'!E8</f>
        <v>174.310732</v>
      </c>
      <c r="F8" s="11">
        <f>'Budget - Grantville'!F8+'Budget - Tyler'!F8</f>
        <v>177.1089808</v>
      </c>
      <c r="G8" s="11">
        <f>'Budget - Grantville'!G8+'Budget - Tyler'!G8</f>
        <v>179.7113521</v>
      </c>
      <c r="H8" s="11">
        <f>'Budget - Grantville'!H8+'Budget - Tyler'!H8</f>
        <v>185.1315575</v>
      </c>
      <c r="I8" s="11">
        <f>'Budget - Grantville'!I8+'Budget - Tyler'!I8</f>
        <v>190.1723484</v>
      </c>
      <c r="J8" s="11">
        <f>'Budget - Grantville'!J8+'Budget - Tyler'!J8</f>
        <v>188.860284</v>
      </c>
      <c r="K8" s="11">
        <f>'Budget - Grantville'!K8+'Budget - Tyler'!K8</f>
        <v>187.6400642</v>
      </c>
      <c r="L8" s="11">
        <f>'Budget - Grantville'!L8+'Budget - Tyler'!L8</f>
        <v>186.5052597</v>
      </c>
      <c r="M8" s="11">
        <f>'Budget - Grantville'!M8+'Budget - Tyler'!M8</f>
        <v>186.5777602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4.25" customHeight="1">
      <c r="A9" s="10" t="s">
        <v>6</v>
      </c>
      <c r="B9" s="12">
        <f t="shared" ref="B9:M9" si="1">B8/(126+82)</f>
        <v>0.8461538462</v>
      </c>
      <c r="C9" s="12">
        <f t="shared" si="1"/>
        <v>0.8398076923</v>
      </c>
      <c r="D9" s="12">
        <f t="shared" si="1"/>
        <v>0.8339057692</v>
      </c>
      <c r="E9" s="12">
        <f t="shared" si="1"/>
        <v>0.8380323654</v>
      </c>
      <c r="F9" s="12">
        <f t="shared" si="1"/>
        <v>0.8514854844</v>
      </c>
      <c r="G9" s="12">
        <f t="shared" si="1"/>
        <v>0.8639968851</v>
      </c>
      <c r="H9" s="12">
        <f t="shared" si="1"/>
        <v>0.8900555647</v>
      </c>
      <c r="I9" s="12">
        <f t="shared" si="1"/>
        <v>0.9142901367</v>
      </c>
      <c r="J9" s="12">
        <f t="shared" si="1"/>
        <v>0.9079821348</v>
      </c>
      <c r="K9" s="12">
        <f t="shared" si="1"/>
        <v>0.9021156931</v>
      </c>
      <c r="L9" s="12">
        <f t="shared" si="1"/>
        <v>0.8966599023</v>
      </c>
      <c r="M9" s="12">
        <f t="shared" si="1"/>
        <v>0.8970084624</v>
      </c>
      <c r="N9" s="1"/>
      <c r="O9" s="13" t="s">
        <v>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9">
        <v>46023.0</v>
      </c>
      <c r="C10" s="9">
        <v>46054.0</v>
      </c>
      <c r="D10" s="9">
        <v>46082.0</v>
      </c>
      <c r="E10" s="9">
        <v>46113.0</v>
      </c>
      <c r="F10" s="9">
        <v>46143.0</v>
      </c>
      <c r="G10" s="9">
        <v>46174.0</v>
      </c>
      <c r="H10" s="9">
        <v>46204.0</v>
      </c>
      <c r="I10" s="9">
        <v>46235.0</v>
      </c>
      <c r="J10" s="9">
        <v>46266.0</v>
      </c>
      <c r="K10" s="9">
        <v>46296.0</v>
      </c>
      <c r="L10" s="9">
        <v>46327.0</v>
      </c>
      <c r="M10" s="9">
        <v>46357.0</v>
      </c>
      <c r="N10" s="14" t="s">
        <v>8</v>
      </c>
      <c r="O10" s="15" t="s">
        <v>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4.25" customHeight="1">
      <c r="A11" s="16" t="s">
        <v>10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4.25" customHeight="1">
      <c r="A12" s="19" t="s">
        <v>11</v>
      </c>
      <c r="B12" s="20">
        <f>'Budget - Grantville'!B12+'Budget - Tyler'!B12</f>
        <v>24737.0091</v>
      </c>
      <c r="C12" s="20">
        <f>'Budget - Grantville'!C12+'Budget - Tyler'!C12</f>
        <v>24623.31362</v>
      </c>
      <c r="D12" s="20">
        <f>'Budget - Grantville'!D12+'Budget - Tyler'!D12</f>
        <v>24517.57682</v>
      </c>
      <c r="E12" s="20">
        <f>'Budget - Grantville'!E12+'Budget - Tyler'!E12</f>
        <v>24640.7205</v>
      </c>
      <c r="F12" s="20">
        <f>'Budget - Grantville'!F12+'Budget - Tyler'!F12</f>
        <v>25076.66333</v>
      </c>
      <c r="G12" s="20">
        <f>'Budget - Grantville'!G12+'Budget - Tyler'!G12</f>
        <v>25482.09015</v>
      </c>
      <c r="H12" s="20">
        <f>'Budget - Grantville'!H12+'Budget - Tyler'!H12</f>
        <v>26191.35546</v>
      </c>
      <c r="I12" s="20">
        <f>'Budget - Grantville'!I12+'Budget - Tyler'!I12</f>
        <v>26850.97219</v>
      </c>
      <c r="J12" s="20">
        <f>'Budget - Grantville'!J12+'Budget - Tyler'!J12</f>
        <v>26650.0686</v>
      </c>
      <c r="K12" s="20">
        <f>'Budget - Grantville'!K12+'Budget - Tyler'!K12</f>
        <v>26463.22826</v>
      </c>
      <c r="L12" s="20">
        <f>'Budget - Grantville'!L12+'Budget - Tyler'!L12</f>
        <v>26289.46674</v>
      </c>
      <c r="M12" s="20">
        <f>'Budget - Grantville'!M12+'Budget - Tyler'!M12</f>
        <v>26309.12785</v>
      </c>
      <c r="N12" s="20">
        <f t="shared" ref="N12:N14" si="2">SUM(B12:M12)</f>
        <v>307831.5926</v>
      </c>
      <c r="O12" s="20">
        <f>222505.71+46989.65-483.03</f>
        <v>269012.33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4.25" customHeight="1">
      <c r="A13" s="21" t="s">
        <v>12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>
        <f t="shared" si="2"/>
        <v>0</v>
      </c>
      <c r="O13" s="20">
        <f t="shared" ref="O13:O14" si="3">SUM(C13:N13)</f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4.25" customHeight="1">
      <c r="A14" s="21" t="s">
        <v>12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>
        <f t="shared" si="2"/>
        <v>0</v>
      </c>
      <c r="O14" s="23">
        <f t="shared" si="3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4.25" customHeight="1">
      <c r="A15" s="24" t="s">
        <v>13</v>
      </c>
      <c r="B15" s="25">
        <f t="shared" ref="B15:M15" si="4">SUM(B12:B14)</f>
        <v>24737.0091</v>
      </c>
      <c r="C15" s="25">
        <f t="shared" si="4"/>
        <v>24623.31362</v>
      </c>
      <c r="D15" s="25">
        <f t="shared" si="4"/>
        <v>24517.57682</v>
      </c>
      <c r="E15" s="25">
        <f t="shared" si="4"/>
        <v>24640.7205</v>
      </c>
      <c r="F15" s="25">
        <f t="shared" si="4"/>
        <v>25076.66333</v>
      </c>
      <c r="G15" s="25">
        <f t="shared" si="4"/>
        <v>25482.09015</v>
      </c>
      <c r="H15" s="25">
        <f t="shared" si="4"/>
        <v>26191.35546</v>
      </c>
      <c r="I15" s="25">
        <f t="shared" si="4"/>
        <v>26850.97219</v>
      </c>
      <c r="J15" s="25">
        <f t="shared" si="4"/>
        <v>26650.0686</v>
      </c>
      <c r="K15" s="25">
        <f t="shared" si="4"/>
        <v>26463.22826</v>
      </c>
      <c r="L15" s="25">
        <f t="shared" si="4"/>
        <v>26289.46674</v>
      </c>
      <c r="M15" s="25">
        <f t="shared" si="4"/>
        <v>26309.12785</v>
      </c>
      <c r="N15" s="26">
        <f>(((((((((((B15)+(C15))+(D15))+(E15))+(F15))+(G15))+(H15))+(I15))+(J15))+(K15))+(L15))+(M15)</f>
        <v>307831.5926</v>
      </c>
      <c r="O15" s="25">
        <f>SUM(O12:O14)</f>
        <v>269012.33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4.25" customHeight="1">
      <c r="A16" s="27" t="s">
        <v>14</v>
      </c>
      <c r="B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4.25" customHeight="1">
      <c r="A17" s="30" t="s">
        <v>15</v>
      </c>
      <c r="B17" s="20">
        <f>'Budget - Grantville'!B17+'Budget - Tyler'!B17</f>
        <v>160</v>
      </c>
      <c r="C17" s="20">
        <f>'Budget - Grantville'!C17+'Budget - Tyler'!C17</f>
        <v>220</v>
      </c>
      <c r="D17" s="20">
        <f>'Budget - Grantville'!D17+'Budget - Tyler'!D17</f>
        <v>220</v>
      </c>
      <c r="E17" s="20">
        <f>'Budget - Grantville'!E17+'Budget - Tyler'!E17</f>
        <v>260</v>
      </c>
      <c r="F17" s="20">
        <f>'Budget - Grantville'!F17+'Budget - Tyler'!F17</f>
        <v>300</v>
      </c>
      <c r="G17" s="20">
        <f>'Budget - Grantville'!G17+'Budget - Tyler'!G17</f>
        <v>300</v>
      </c>
      <c r="H17" s="20">
        <f>'Budget - Grantville'!H17+'Budget - Tyler'!H17</f>
        <v>360</v>
      </c>
      <c r="I17" s="20">
        <f>'Budget - Grantville'!I17+'Budget - Tyler'!I17</f>
        <v>360</v>
      </c>
      <c r="J17" s="20">
        <f>'Budget - Grantville'!J17+'Budget - Tyler'!J17</f>
        <v>240</v>
      </c>
      <c r="K17" s="20">
        <f>'Budget - Grantville'!K17+'Budget - Tyler'!K17</f>
        <v>240</v>
      </c>
      <c r="L17" s="20">
        <f>'Budget - Grantville'!L17+'Budget - Tyler'!L17</f>
        <v>240</v>
      </c>
      <c r="M17" s="20">
        <f>'Budget - Grantville'!M17+'Budget - Tyler'!M17</f>
        <v>240</v>
      </c>
      <c r="N17" s="20">
        <f t="shared" ref="N17:N21" si="5">SUM(B17:M17)</f>
        <v>3140</v>
      </c>
      <c r="O17" s="31">
        <v>4175.54</v>
      </c>
      <c r="Q17" s="29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4.25" customHeight="1">
      <c r="A18" s="21" t="s">
        <v>16</v>
      </c>
      <c r="B18" s="20">
        <f>'Budget - Grantville'!B18+'Budget - Tyler'!B18</f>
        <v>742.1102729</v>
      </c>
      <c r="C18" s="20">
        <f>'Budget - Grantville'!C18+'Budget - Tyler'!C18</f>
        <v>738.6994085</v>
      </c>
      <c r="D18" s="20">
        <f>'Budget - Grantville'!D18+'Budget - Tyler'!D18</f>
        <v>735.5273046</v>
      </c>
      <c r="E18" s="20">
        <f>'Budget - Grantville'!E18+'Budget - Tyler'!E18</f>
        <v>739.221615</v>
      </c>
      <c r="F18" s="20">
        <f>'Budget - Grantville'!F18+'Budget - Tyler'!F18</f>
        <v>752.2998998</v>
      </c>
      <c r="G18" s="20">
        <f>'Budget - Grantville'!G18+'Budget - Tyler'!G18</f>
        <v>764.4627046</v>
      </c>
      <c r="H18" s="20">
        <f>'Budget - Grantville'!H18+'Budget - Tyler'!H18</f>
        <v>785.7406638</v>
      </c>
      <c r="I18" s="20">
        <f>'Budget - Grantville'!I18+'Budget - Tyler'!I18</f>
        <v>805.5291658</v>
      </c>
      <c r="J18" s="20">
        <f>'Budget - Grantville'!J18+'Budget - Tyler'!J18</f>
        <v>799.502058</v>
      </c>
      <c r="K18" s="20">
        <f>'Budget - Grantville'!K18+'Budget - Tyler'!K18</f>
        <v>793.8968478</v>
      </c>
      <c r="L18" s="20">
        <f>'Budget - Grantville'!L18+'Budget - Tyler'!L18</f>
        <v>788.6840022</v>
      </c>
      <c r="M18" s="20">
        <f>'Budget - Grantville'!M18+'Budget - Tyler'!M18</f>
        <v>789.2738356</v>
      </c>
      <c r="N18" s="20">
        <f t="shared" si="5"/>
        <v>9234.947779</v>
      </c>
      <c r="O18" s="31">
        <v>8653.0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4.25" customHeight="1">
      <c r="A19" s="30" t="s">
        <v>17</v>
      </c>
      <c r="B19" s="20">
        <f>'Budget - Grantville'!B19+'Budget - Tyler'!B19</f>
        <v>44</v>
      </c>
      <c r="C19" s="20">
        <f>'Budget - Grantville'!C19+'Budget - Tyler'!C19</f>
        <v>43.67</v>
      </c>
      <c r="D19" s="20">
        <f>'Budget - Grantville'!D19+'Budget - Tyler'!D19</f>
        <v>43.3631</v>
      </c>
      <c r="E19" s="20">
        <f>'Budget - Grantville'!E19+'Budget - Tyler'!E19</f>
        <v>43.577683</v>
      </c>
      <c r="F19" s="20">
        <f>'Budget - Grantville'!F19+'Budget - Tyler'!F19</f>
        <v>44.27724519</v>
      </c>
      <c r="G19" s="20">
        <f>'Budget - Grantville'!G19+'Budget - Tyler'!G19</f>
        <v>44.92783803</v>
      </c>
      <c r="H19" s="20">
        <f>'Budget - Grantville'!H19+'Budget - Tyler'!H19</f>
        <v>46.28288936</v>
      </c>
      <c r="I19" s="20">
        <f>'Budget - Grantville'!I19+'Budget - Tyler'!I19</f>
        <v>47.54308711</v>
      </c>
      <c r="J19" s="20">
        <f>'Budget - Grantville'!J19+'Budget - Tyler'!J19</f>
        <v>47.21507101</v>
      </c>
      <c r="K19" s="20">
        <f>'Budget - Grantville'!K19+'Budget - Tyler'!K19</f>
        <v>46.91001604</v>
      </c>
      <c r="L19" s="20">
        <f>'Budget - Grantville'!L19+'Budget - Tyler'!L19</f>
        <v>46.62631492</v>
      </c>
      <c r="M19" s="20">
        <f>'Budget - Grantville'!M19+'Budget - Tyler'!M19</f>
        <v>46.64444004</v>
      </c>
      <c r="N19" s="20">
        <f t="shared" si="5"/>
        <v>545.0376847</v>
      </c>
      <c r="O19" s="31">
        <v>95.84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4.25" customHeight="1">
      <c r="A20" s="32" t="s">
        <v>18</v>
      </c>
      <c r="B20" s="20">
        <f>'Budget - Grantville'!B20+'Budget - Tyler'!B20</f>
        <v>0</v>
      </c>
      <c r="C20" s="20">
        <f>'Budget - Grantville'!C20+'Budget - Tyler'!C20</f>
        <v>0</v>
      </c>
      <c r="D20" s="20">
        <f>'Budget - Grantville'!D20+'Budget - Tyler'!D20</f>
        <v>0</v>
      </c>
      <c r="E20" s="20">
        <f>'Budget - Grantville'!E20+'Budget - Tyler'!E20</f>
        <v>0</v>
      </c>
      <c r="F20" s="20">
        <f>'Budget - Grantville'!F20+'Budget - Tyler'!F20</f>
        <v>0</v>
      </c>
      <c r="G20" s="20">
        <f>'Budget - Grantville'!G20+'Budget - Tyler'!G20</f>
        <v>0</v>
      </c>
      <c r="H20" s="20">
        <f>'Budget - Grantville'!H20+'Budget - Tyler'!H20</f>
        <v>0</v>
      </c>
      <c r="I20" s="20">
        <f>'Budget - Grantville'!I20+'Budget - Tyler'!I20</f>
        <v>0</v>
      </c>
      <c r="J20" s="20">
        <f>'Budget - Grantville'!J20+'Budget - Tyler'!J20</f>
        <v>0</v>
      </c>
      <c r="K20" s="20">
        <f>'Budget - Grantville'!K20+'Budget - Tyler'!K20</f>
        <v>0</v>
      </c>
      <c r="L20" s="20">
        <f>'Budget - Grantville'!L20+'Budget - Tyler'!L20</f>
        <v>0</v>
      </c>
      <c r="M20" s="20">
        <f>'Budget - Grantville'!M20+'Budget - Tyler'!M20</f>
        <v>0</v>
      </c>
      <c r="N20" s="20">
        <f t="shared" si="5"/>
        <v>0</v>
      </c>
      <c r="O20" s="31">
        <v>843.48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4.25" customHeight="1">
      <c r="A21" s="30" t="s">
        <v>19</v>
      </c>
      <c r="B21" s="20">
        <f>'Budget - Grantville'!B21+'Budget - Tyler'!B21</f>
        <v>0</v>
      </c>
      <c r="C21" s="20">
        <f>'Budget - Grantville'!C21+'Budget - Tyler'!C21</f>
        <v>0</v>
      </c>
      <c r="D21" s="20">
        <f>'Budget - Grantville'!D21+'Budget - Tyler'!D21</f>
        <v>0</v>
      </c>
      <c r="E21" s="20">
        <f>'Budget - Grantville'!E21+'Budget - Tyler'!E21</f>
        <v>0</v>
      </c>
      <c r="F21" s="20">
        <f>'Budget - Grantville'!F21+'Budget - Tyler'!F21</f>
        <v>0</v>
      </c>
      <c r="G21" s="20">
        <f>'Budget - Grantville'!G21+'Budget - Tyler'!G21</f>
        <v>0</v>
      </c>
      <c r="H21" s="20">
        <f>'Budget - Grantville'!H21+'Budget - Tyler'!H21</f>
        <v>0</v>
      </c>
      <c r="I21" s="20">
        <f>'Budget - Grantville'!I21+'Budget - Tyler'!I21</f>
        <v>0</v>
      </c>
      <c r="J21" s="20">
        <f>'Budget - Grantville'!J21+'Budget - Tyler'!J21</f>
        <v>0</v>
      </c>
      <c r="K21" s="20">
        <f>'Budget - Grantville'!K21+'Budget - Tyler'!K21</f>
        <v>0</v>
      </c>
      <c r="L21" s="20">
        <f>'Budget - Grantville'!L21+'Budget - Tyler'!L21</f>
        <v>0</v>
      </c>
      <c r="M21" s="20">
        <f>'Budget - Grantville'!M21+'Budget - Tyler'!M21</f>
        <v>0</v>
      </c>
      <c r="N21" s="20">
        <f t="shared" si="5"/>
        <v>0</v>
      </c>
      <c r="O21" s="20">
        <f>SUM(C21:N21)</f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4.25" customHeight="1">
      <c r="A22" s="33" t="s">
        <v>20</v>
      </c>
      <c r="B22" s="26">
        <f t="shared" ref="B22:M22" si="6">SUM(B17:B21)</f>
        <v>946.1102729</v>
      </c>
      <c r="C22" s="26">
        <f t="shared" si="6"/>
        <v>1002.369408</v>
      </c>
      <c r="D22" s="26">
        <f t="shared" si="6"/>
        <v>998.8904046</v>
      </c>
      <c r="E22" s="26">
        <f t="shared" si="6"/>
        <v>1042.799298</v>
      </c>
      <c r="F22" s="26">
        <f t="shared" si="6"/>
        <v>1096.577145</v>
      </c>
      <c r="G22" s="26">
        <f t="shared" si="6"/>
        <v>1109.390543</v>
      </c>
      <c r="H22" s="26">
        <f t="shared" si="6"/>
        <v>1192.023553</v>
      </c>
      <c r="I22" s="26">
        <f t="shared" si="6"/>
        <v>1213.072253</v>
      </c>
      <c r="J22" s="26">
        <f t="shared" si="6"/>
        <v>1086.717129</v>
      </c>
      <c r="K22" s="26">
        <f t="shared" si="6"/>
        <v>1080.806864</v>
      </c>
      <c r="L22" s="26">
        <f t="shared" si="6"/>
        <v>1075.310317</v>
      </c>
      <c r="M22" s="26">
        <f t="shared" si="6"/>
        <v>1075.918276</v>
      </c>
      <c r="N22" s="26">
        <f>(((((((((((B22)+(C22))+(D22))+(E22))+(F22))+(G22))+(H22))+(I22))+(J22))+(K22))+(L22))+(M22)</f>
        <v>12919.98546</v>
      </c>
      <c r="O22" s="26">
        <f>SUM(O17:O21)</f>
        <v>13767.86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4.25" customHeight="1">
      <c r="A23" s="33" t="s">
        <v>21</v>
      </c>
      <c r="B23" s="34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4.25" customHeight="1">
      <c r="A24" s="30" t="s">
        <v>22</v>
      </c>
      <c r="B24" s="20">
        <f>'Budget - Grantville'!B24+'Budget - Tyler'!B24</f>
        <v>0</v>
      </c>
      <c r="C24" s="20">
        <f>'Budget - Grantville'!C24+'Budget - Tyler'!C24</f>
        <v>0</v>
      </c>
      <c r="D24" s="20">
        <f>'Budget - Grantville'!D24+'Budget - Tyler'!D24</f>
        <v>0</v>
      </c>
      <c r="E24" s="20">
        <f>'Budget - Grantville'!E24+'Budget - Tyler'!E24</f>
        <v>0</v>
      </c>
      <c r="F24" s="20">
        <f>'Budget - Grantville'!F24+'Budget - Tyler'!F24</f>
        <v>0</v>
      </c>
      <c r="G24" s="20">
        <f>'Budget - Grantville'!G24+'Budget - Tyler'!G24</f>
        <v>0</v>
      </c>
      <c r="H24" s="20">
        <f>'Budget - Grantville'!H24+'Budget - Tyler'!H24</f>
        <v>0</v>
      </c>
      <c r="I24" s="20">
        <f>'Budget - Grantville'!I24+'Budget - Tyler'!I24</f>
        <v>0</v>
      </c>
      <c r="J24" s="20">
        <f>'Budget - Grantville'!J24+'Budget - Tyler'!J24</f>
        <v>0</v>
      </c>
      <c r="K24" s="20">
        <f>'Budget - Grantville'!K24+'Budget - Tyler'!K24</f>
        <v>0</v>
      </c>
      <c r="L24" s="20">
        <f>'Budget - Grantville'!L24+'Budget - Tyler'!L24</f>
        <v>0</v>
      </c>
      <c r="M24" s="20">
        <f>'Budget - Grantville'!M24+'Budget - Tyler'!M24</f>
        <v>0</v>
      </c>
      <c r="N24" s="20">
        <f t="shared" ref="N24:O24" si="7">SUM(B24:M24)</f>
        <v>0</v>
      </c>
      <c r="O24" s="20">
        <f t="shared" si="7"/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4.25" customHeight="1">
      <c r="A25" s="21" t="s">
        <v>23</v>
      </c>
      <c r="B25" s="20">
        <f>'Budget - Grantville'!B25+'Budget - Tyler'!B25</f>
        <v>816.55</v>
      </c>
      <c r="C25" s="20">
        <f>'Budget - Grantville'!C25+'Budget - Tyler'!C25</f>
        <v>810.6415</v>
      </c>
      <c r="D25" s="20">
        <f>'Budget - Grantville'!D25+'Budget - Tyler'!D25</f>
        <v>805.146595</v>
      </c>
      <c r="E25" s="20">
        <f>'Budget - Grantville'!E25+'Budget - Tyler'!E25</f>
        <v>809.1363334</v>
      </c>
      <c r="F25" s="20">
        <f>'Budget - Grantville'!F25+'Budget - Tyler'!F25</f>
        <v>822.24679</v>
      </c>
      <c r="G25" s="20">
        <f>'Budget - Grantville'!G25+'Budget - Tyler'!G25</f>
        <v>834.4395147</v>
      </c>
      <c r="H25" s="20">
        <f>'Budget - Grantville'!H25+'Budget - Tyler'!H25</f>
        <v>859.4287487</v>
      </c>
      <c r="I25" s="20">
        <f>'Budget - Grantville'!I25+'Budget - Tyler'!I25</f>
        <v>882.6687363</v>
      </c>
      <c r="J25" s="20">
        <f>'Budget - Grantville'!J25+'Budget - Tyler'!J25</f>
        <v>876.5319247</v>
      </c>
      <c r="K25" s="20">
        <f>'Budget - Grantville'!K25+'Budget - Tyler'!K25</f>
        <v>870.82469</v>
      </c>
      <c r="L25" s="20">
        <f>'Budget - Grantville'!L25+'Budget - Tyler'!L25</f>
        <v>865.5169617</v>
      </c>
      <c r="M25" s="20">
        <f>'Budget - Grantville'!M25+'Budget - Tyler'!M25</f>
        <v>865.8817572</v>
      </c>
      <c r="N25" s="20">
        <f t="shared" ref="N25:N29" si="8">SUM(B25:M25)</f>
        <v>10119.01355</v>
      </c>
      <c r="O25" s="31">
        <v>7232.79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4.25" customHeight="1">
      <c r="A26" s="35" t="s">
        <v>24</v>
      </c>
      <c r="B26" s="20">
        <f>'Budget - Grantville'!B26+'Budget - Tyler'!B26</f>
        <v>0</v>
      </c>
      <c r="C26" s="20">
        <f>'Budget - Grantville'!C26+'Budget - Tyler'!C26</f>
        <v>0</v>
      </c>
      <c r="D26" s="20">
        <f>'Budget - Grantville'!D26+'Budget - Tyler'!D26</f>
        <v>0</v>
      </c>
      <c r="E26" s="20">
        <f>'Budget - Grantville'!E26+'Budget - Tyler'!E26</f>
        <v>0</v>
      </c>
      <c r="F26" s="20">
        <f>'Budget - Grantville'!F26+'Budget - Tyler'!F26</f>
        <v>0</v>
      </c>
      <c r="G26" s="20">
        <f>'Budget - Grantville'!G26+'Budget - Tyler'!G26</f>
        <v>0</v>
      </c>
      <c r="H26" s="20">
        <f>'Budget - Grantville'!H26+'Budget - Tyler'!H26</f>
        <v>0</v>
      </c>
      <c r="I26" s="20">
        <f>'Budget - Grantville'!I26+'Budget - Tyler'!I26</f>
        <v>0</v>
      </c>
      <c r="J26" s="20">
        <f>'Budget - Grantville'!J26+'Budget - Tyler'!J26</f>
        <v>0</v>
      </c>
      <c r="K26" s="20">
        <f>'Budget - Grantville'!K26+'Budget - Tyler'!K26</f>
        <v>0</v>
      </c>
      <c r="L26" s="20">
        <f>'Budget - Grantville'!L26+'Budget - Tyler'!L26</f>
        <v>0</v>
      </c>
      <c r="M26" s="20">
        <f>'Budget - Grantville'!M26+'Budget - Tyler'!M26</f>
        <v>0</v>
      </c>
      <c r="N26" s="20">
        <f t="shared" si="8"/>
        <v>0</v>
      </c>
      <c r="O26" s="20">
        <f t="shared" ref="O26:O29" si="9">SUM(C26:N26)</f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4.25" customHeight="1">
      <c r="A27" s="35" t="s">
        <v>25</v>
      </c>
      <c r="B27" s="20">
        <f>'Budget - Grantville'!B27+'Budget - Tyler'!B27</f>
        <v>0</v>
      </c>
      <c r="C27" s="20">
        <f>'Budget - Grantville'!C27+'Budget - Tyler'!C27</f>
        <v>0</v>
      </c>
      <c r="D27" s="20">
        <f>'Budget - Grantville'!D27+'Budget - Tyler'!D27</f>
        <v>0</v>
      </c>
      <c r="E27" s="20">
        <f>'Budget - Grantville'!E27+'Budget - Tyler'!E27</f>
        <v>0</v>
      </c>
      <c r="F27" s="20">
        <f>'Budget - Grantville'!F27+'Budget - Tyler'!F27</f>
        <v>0</v>
      </c>
      <c r="G27" s="20">
        <f>'Budget - Grantville'!G27+'Budget - Tyler'!G27</f>
        <v>0</v>
      </c>
      <c r="H27" s="20">
        <f>'Budget - Grantville'!H27+'Budget - Tyler'!H27</f>
        <v>0</v>
      </c>
      <c r="I27" s="20">
        <f>'Budget - Grantville'!I27+'Budget - Tyler'!I27</f>
        <v>0</v>
      </c>
      <c r="J27" s="20">
        <f>'Budget - Grantville'!J27+'Budget - Tyler'!J27</f>
        <v>0</v>
      </c>
      <c r="K27" s="20">
        <f>'Budget - Grantville'!K27+'Budget - Tyler'!K27</f>
        <v>0</v>
      </c>
      <c r="L27" s="20">
        <f>'Budget - Grantville'!L27+'Budget - Tyler'!L27</f>
        <v>0</v>
      </c>
      <c r="M27" s="20">
        <f>'Budget - Grantville'!M27+'Budget - Tyler'!M27</f>
        <v>0</v>
      </c>
      <c r="N27" s="20">
        <f t="shared" si="8"/>
        <v>0</v>
      </c>
      <c r="O27" s="20">
        <f t="shared" si="9"/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4.25" customHeight="1">
      <c r="A28" s="30" t="s">
        <v>26</v>
      </c>
      <c r="B28" s="20">
        <f>'Budget - Grantville'!B28+'Budget - Tyler'!B28</f>
        <v>0</v>
      </c>
      <c r="C28" s="20">
        <f>'Budget - Grantville'!C28+'Budget - Tyler'!C28</f>
        <v>0</v>
      </c>
      <c r="D28" s="20">
        <f>'Budget - Grantville'!D28+'Budget - Tyler'!D28</f>
        <v>0</v>
      </c>
      <c r="E28" s="20">
        <f>'Budget - Grantville'!E28+'Budget - Tyler'!E28</f>
        <v>0</v>
      </c>
      <c r="F28" s="20">
        <f>'Budget - Grantville'!F28+'Budget - Tyler'!F28</f>
        <v>0</v>
      </c>
      <c r="G28" s="20">
        <f>'Budget - Grantville'!G28+'Budget - Tyler'!G28</f>
        <v>0</v>
      </c>
      <c r="H28" s="20">
        <f>'Budget - Grantville'!H28+'Budget - Tyler'!H28</f>
        <v>0</v>
      </c>
      <c r="I28" s="20">
        <f>'Budget - Grantville'!I28+'Budget - Tyler'!I28</f>
        <v>0</v>
      </c>
      <c r="J28" s="20">
        <f>'Budget - Grantville'!J28+'Budget - Tyler'!J28</f>
        <v>0</v>
      </c>
      <c r="K28" s="20">
        <f>'Budget - Grantville'!K28+'Budget - Tyler'!K28</f>
        <v>0</v>
      </c>
      <c r="L28" s="20">
        <f>'Budget - Grantville'!L28+'Budget - Tyler'!L28</f>
        <v>0</v>
      </c>
      <c r="M28" s="20">
        <f>'Budget - Grantville'!M28+'Budget - Tyler'!M28</f>
        <v>0</v>
      </c>
      <c r="N28" s="20">
        <f t="shared" si="8"/>
        <v>0</v>
      </c>
      <c r="O28" s="20">
        <f t="shared" si="9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4.25" customHeight="1">
      <c r="A29" s="30" t="s">
        <v>26</v>
      </c>
      <c r="B29" s="20">
        <f>'Budget - Grantville'!B29+'Budget - Tyler'!B29</f>
        <v>0</v>
      </c>
      <c r="C29" s="20">
        <f>'Budget - Grantville'!C29+'Budget - Tyler'!C29</f>
        <v>0</v>
      </c>
      <c r="D29" s="20">
        <f>'Budget - Grantville'!D29+'Budget - Tyler'!D29</f>
        <v>0</v>
      </c>
      <c r="E29" s="20">
        <f>'Budget - Grantville'!E29+'Budget - Tyler'!E29</f>
        <v>0</v>
      </c>
      <c r="F29" s="20">
        <f>'Budget - Grantville'!F29+'Budget - Tyler'!F29</f>
        <v>0</v>
      </c>
      <c r="G29" s="20">
        <f>'Budget - Grantville'!G29+'Budget - Tyler'!G29</f>
        <v>0</v>
      </c>
      <c r="H29" s="20">
        <f>'Budget - Grantville'!H29+'Budget - Tyler'!H29</f>
        <v>0</v>
      </c>
      <c r="I29" s="20">
        <f>'Budget - Grantville'!I29+'Budget - Tyler'!I29</f>
        <v>0</v>
      </c>
      <c r="J29" s="20">
        <f>'Budget - Grantville'!J29+'Budget - Tyler'!J29</f>
        <v>0</v>
      </c>
      <c r="K29" s="20">
        <f>'Budget - Grantville'!K29+'Budget - Tyler'!K29</f>
        <v>0</v>
      </c>
      <c r="L29" s="20">
        <f>'Budget - Grantville'!L29+'Budget - Tyler'!L29</f>
        <v>0</v>
      </c>
      <c r="M29" s="20">
        <f>'Budget - Grantville'!M29+'Budget - Tyler'!M29</f>
        <v>0</v>
      </c>
      <c r="N29" s="20">
        <f t="shared" si="8"/>
        <v>0</v>
      </c>
      <c r="O29" s="20">
        <f t="shared" si="9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4.25" customHeight="1">
      <c r="A30" s="33" t="s">
        <v>27</v>
      </c>
      <c r="B30" s="26">
        <f t="shared" ref="B30:M30" si="10">SUM(B24:B29)</f>
        <v>816.55</v>
      </c>
      <c r="C30" s="26">
        <f t="shared" si="10"/>
        <v>810.6415</v>
      </c>
      <c r="D30" s="26">
        <f t="shared" si="10"/>
        <v>805.146595</v>
      </c>
      <c r="E30" s="26">
        <f t="shared" si="10"/>
        <v>809.1363334</v>
      </c>
      <c r="F30" s="26">
        <f t="shared" si="10"/>
        <v>822.24679</v>
      </c>
      <c r="G30" s="26">
        <f t="shared" si="10"/>
        <v>834.4395147</v>
      </c>
      <c r="H30" s="26">
        <f t="shared" si="10"/>
        <v>859.4287487</v>
      </c>
      <c r="I30" s="26">
        <f t="shared" si="10"/>
        <v>882.6687363</v>
      </c>
      <c r="J30" s="26">
        <f t="shared" si="10"/>
        <v>876.5319247</v>
      </c>
      <c r="K30" s="26">
        <f t="shared" si="10"/>
        <v>870.82469</v>
      </c>
      <c r="L30" s="26">
        <f t="shared" si="10"/>
        <v>865.5169617</v>
      </c>
      <c r="M30" s="26">
        <f t="shared" si="10"/>
        <v>865.8817572</v>
      </c>
      <c r="N30" s="26">
        <f>(((((((((((B30)+(C30))+(D30))+(E30))+(F30))+(G30))+(H30))+(I30))+(J30))+(K30))+(L30))+(M30)</f>
        <v>10119.01355</v>
      </c>
      <c r="O30" s="26">
        <f>SUM(O24:O29)</f>
        <v>7232.79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4.25" customHeight="1">
      <c r="A31" s="16" t="s">
        <v>28</v>
      </c>
      <c r="B31" s="26">
        <f t="shared" ref="B31:M31" si="11">B15+B22+B30</f>
        <v>26499.66937</v>
      </c>
      <c r="C31" s="26">
        <f t="shared" si="11"/>
        <v>26436.32452</v>
      </c>
      <c r="D31" s="26">
        <f t="shared" si="11"/>
        <v>26321.61382</v>
      </c>
      <c r="E31" s="26">
        <f t="shared" si="11"/>
        <v>26492.65613</v>
      </c>
      <c r="F31" s="26">
        <f t="shared" si="11"/>
        <v>26995.48726</v>
      </c>
      <c r="G31" s="26">
        <f t="shared" si="11"/>
        <v>27425.92021</v>
      </c>
      <c r="H31" s="26">
        <f t="shared" si="11"/>
        <v>28242.80776</v>
      </c>
      <c r="I31" s="26">
        <f t="shared" si="11"/>
        <v>28946.71318</v>
      </c>
      <c r="J31" s="26">
        <f t="shared" si="11"/>
        <v>28613.31765</v>
      </c>
      <c r="K31" s="26">
        <f t="shared" si="11"/>
        <v>28414.85981</v>
      </c>
      <c r="L31" s="26">
        <f t="shared" si="11"/>
        <v>28230.29402</v>
      </c>
      <c r="M31" s="26">
        <f t="shared" si="11"/>
        <v>28250.92789</v>
      </c>
      <c r="N31" s="26">
        <f>SUM(B31:M31)</f>
        <v>330870.5916</v>
      </c>
      <c r="O31" s="26">
        <f>O15+O22+O30</f>
        <v>290012.98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4.25" customHeight="1">
      <c r="A32" s="1"/>
      <c r="B32" s="34"/>
      <c r="C32" s="34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4.25" customHeight="1">
      <c r="A33" s="16" t="s">
        <v>29</v>
      </c>
      <c r="D33" s="36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4.25" customHeight="1">
      <c r="A34" s="33" t="s">
        <v>30</v>
      </c>
      <c r="B34" s="34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4.25" customHeight="1">
      <c r="A35" s="37" t="s">
        <v>31</v>
      </c>
      <c r="B35" s="20">
        <f>'Budget - Grantville'!B35+'Budget - Tyler'!B35</f>
        <v>600</v>
      </c>
      <c r="C35" s="20">
        <f>'Budget - Grantville'!C35+'Budget - Tyler'!C35</f>
        <v>600</v>
      </c>
      <c r="D35" s="20">
        <f>'Budget - Grantville'!D35+'Budget - Tyler'!D35</f>
        <v>600</v>
      </c>
      <c r="E35" s="20">
        <f>'Budget - Grantville'!E35+'Budget - Tyler'!E35</f>
        <v>600</v>
      </c>
      <c r="F35" s="20">
        <f>'Budget - Grantville'!F35+'Budget - Tyler'!F35</f>
        <v>600</v>
      </c>
      <c r="G35" s="20">
        <f>'Budget - Grantville'!G35+'Budget - Tyler'!G35</f>
        <v>600</v>
      </c>
      <c r="H35" s="20">
        <f>'Budget - Grantville'!H35+'Budget - Tyler'!H35</f>
        <v>600</v>
      </c>
      <c r="I35" s="20">
        <f>'Budget - Grantville'!I35+'Budget - Tyler'!I35</f>
        <v>600</v>
      </c>
      <c r="J35" s="20">
        <f>'Budget - Grantville'!J35+'Budget - Tyler'!J35</f>
        <v>600</v>
      </c>
      <c r="K35" s="20">
        <f>'Budget - Grantville'!K35+'Budget - Tyler'!K35</f>
        <v>600</v>
      </c>
      <c r="L35" s="20">
        <f>'Budget - Grantville'!L35+'Budget - Tyler'!L35</f>
        <v>600</v>
      </c>
      <c r="M35" s="20">
        <f>'Budget - Grantville'!M35+'Budget - Tyler'!M35</f>
        <v>600</v>
      </c>
      <c r="N35" s="20">
        <f t="shared" ref="N35:N47" si="12">(((((((((((B35)+(C35))+(D35))+(E35))+(F35))+(G35))+(H35))+(I35))+(J35))+(K35))+(L35))+(M35)</f>
        <v>7200</v>
      </c>
      <c r="O35" s="20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4.25" customHeight="1">
      <c r="A36" s="37" t="s">
        <v>32</v>
      </c>
      <c r="B36" s="20">
        <f>'Budget - Grantville'!B36+'Budget - Tyler'!B36</f>
        <v>0</v>
      </c>
      <c r="C36" s="20">
        <f>'Budget - Grantville'!C36+'Budget - Tyler'!C36</f>
        <v>0</v>
      </c>
      <c r="D36" s="20">
        <f>'Budget - Grantville'!D36+'Budget - Tyler'!D36</f>
        <v>200</v>
      </c>
      <c r="E36" s="20">
        <f>'Budget - Grantville'!E36+'Budget - Tyler'!E36</f>
        <v>0</v>
      </c>
      <c r="F36" s="20">
        <f>'Budget - Grantville'!F36+'Budget - Tyler'!F36</f>
        <v>0</v>
      </c>
      <c r="G36" s="20">
        <f>'Budget - Grantville'!G36+'Budget - Tyler'!G36</f>
        <v>0</v>
      </c>
      <c r="H36" s="20">
        <f>'Budget - Grantville'!H36+'Budget - Tyler'!H36</f>
        <v>200</v>
      </c>
      <c r="I36" s="20">
        <f>'Budget - Grantville'!I36+'Budget - Tyler'!I36</f>
        <v>0</v>
      </c>
      <c r="J36" s="20">
        <f>'Budget - Grantville'!J36+'Budget - Tyler'!J36</f>
        <v>0</v>
      </c>
      <c r="K36" s="20">
        <f>'Budget - Grantville'!K36+'Budget - Tyler'!K36</f>
        <v>0</v>
      </c>
      <c r="L36" s="20">
        <f>'Budget - Grantville'!L36+'Budget - Tyler'!L36</f>
        <v>200</v>
      </c>
      <c r="M36" s="20">
        <f>'Budget - Grantville'!M36+'Budget - Tyler'!M36</f>
        <v>0</v>
      </c>
      <c r="N36" s="20">
        <f t="shared" si="12"/>
        <v>600</v>
      </c>
      <c r="O36" s="31">
        <v>488.1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4.25" customHeight="1">
      <c r="A37" s="37" t="s">
        <v>33</v>
      </c>
      <c r="B37" s="20">
        <f>'Budget - Grantville'!B37+'Budget - Tyler'!B37</f>
        <v>0</v>
      </c>
      <c r="C37" s="20">
        <f>'Budget - Grantville'!C37+'Budget - Tyler'!C37</f>
        <v>0</v>
      </c>
      <c r="D37" s="20">
        <f>'Budget - Grantville'!D37+'Budget - Tyler'!D37</f>
        <v>0</v>
      </c>
      <c r="E37" s="20">
        <f>'Budget - Grantville'!E37+'Budget - Tyler'!E37</f>
        <v>0</v>
      </c>
      <c r="F37" s="20">
        <f>'Budget - Grantville'!F37+'Budget - Tyler'!F37</f>
        <v>0</v>
      </c>
      <c r="G37" s="20">
        <f>'Budget - Grantville'!G37+'Budget - Tyler'!G37</f>
        <v>0</v>
      </c>
      <c r="H37" s="20">
        <f>'Budget - Grantville'!H37+'Budget - Tyler'!H37</f>
        <v>0</v>
      </c>
      <c r="I37" s="20">
        <f>'Budget - Grantville'!I37+'Budget - Tyler'!I37</f>
        <v>0</v>
      </c>
      <c r="J37" s="20">
        <f>'Budget - Grantville'!J37+'Budget - Tyler'!J37</f>
        <v>0</v>
      </c>
      <c r="K37" s="20">
        <f>'Budget - Grantville'!K37+'Budget - Tyler'!K37</f>
        <v>0</v>
      </c>
      <c r="L37" s="20">
        <f>'Budget - Grantville'!L37+'Budget - Tyler'!L37</f>
        <v>0</v>
      </c>
      <c r="M37" s="20">
        <f>'Budget - Grantville'!M37+'Budget - Tyler'!M37</f>
        <v>0</v>
      </c>
      <c r="N37" s="20">
        <f t="shared" si="12"/>
        <v>0</v>
      </c>
      <c r="O37" s="20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4.25" customHeight="1">
      <c r="A38" s="37" t="s">
        <v>34</v>
      </c>
      <c r="B38" s="20">
        <f>'Budget - Grantville'!B38+'Budget - Tyler'!B38</f>
        <v>600</v>
      </c>
      <c r="C38" s="20">
        <f>'Budget - Grantville'!C38+'Budget - Tyler'!C38</f>
        <v>600</v>
      </c>
      <c r="D38" s="20">
        <f>'Budget - Grantville'!D38+'Budget - Tyler'!D38</f>
        <v>600</v>
      </c>
      <c r="E38" s="20">
        <f>'Budget - Grantville'!E38+'Budget - Tyler'!E38</f>
        <v>600</v>
      </c>
      <c r="F38" s="20">
        <f>'Budget - Grantville'!F38+'Budget - Tyler'!F38</f>
        <v>600</v>
      </c>
      <c r="G38" s="20">
        <f>'Budget - Grantville'!G38+'Budget - Tyler'!G38</f>
        <v>600</v>
      </c>
      <c r="H38" s="20">
        <f>'Budget - Grantville'!H38+'Budget - Tyler'!H38</f>
        <v>600</v>
      </c>
      <c r="I38" s="20">
        <f>'Budget - Grantville'!I38+'Budget - Tyler'!I38</f>
        <v>600</v>
      </c>
      <c r="J38" s="20">
        <f>'Budget - Grantville'!J38+'Budget - Tyler'!J38</f>
        <v>600</v>
      </c>
      <c r="K38" s="20">
        <f>'Budget - Grantville'!K38+'Budget - Tyler'!K38</f>
        <v>600</v>
      </c>
      <c r="L38" s="20">
        <f>'Budget - Grantville'!L38+'Budget - Tyler'!L38</f>
        <v>600</v>
      </c>
      <c r="M38" s="20">
        <f>'Budget - Grantville'!M38+'Budget - Tyler'!M38</f>
        <v>600</v>
      </c>
      <c r="N38" s="20">
        <f t="shared" si="12"/>
        <v>7200</v>
      </c>
      <c r="O38" s="31">
        <v>6716.0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4.25" customHeight="1">
      <c r="A39" s="38" t="s">
        <v>35</v>
      </c>
      <c r="B39" s="20">
        <f>'Budget - Grantville'!B39+'Budget - Tyler'!B39</f>
        <v>0</v>
      </c>
      <c r="C39" s="20">
        <f>'Budget - Grantville'!C39+'Budget - Tyler'!C39</f>
        <v>0</v>
      </c>
      <c r="D39" s="20">
        <f>'Budget - Grantville'!D39+'Budget - Tyler'!D39</f>
        <v>0</v>
      </c>
      <c r="E39" s="20">
        <f>'Budget - Grantville'!E39+'Budget - Tyler'!E39</f>
        <v>0</v>
      </c>
      <c r="F39" s="20">
        <f>'Budget - Grantville'!F39+'Budget - Tyler'!F39</f>
        <v>0</v>
      </c>
      <c r="G39" s="20">
        <f>'Budget - Grantville'!G39+'Budget - Tyler'!G39</f>
        <v>0</v>
      </c>
      <c r="H39" s="20">
        <f>'Budget - Grantville'!H39+'Budget - Tyler'!H39</f>
        <v>0</v>
      </c>
      <c r="I39" s="20">
        <f>'Budget - Grantville'!I39+'Budget - Tyler'!I39</f>
        <v>0</v>
      </c>
      <c r="J39" s="20">
        <f>'Budget - Grantville'!J39+'Budget - Tyler'!J39</f>
        <v>0</v>
      </c>
      <c r="K39" s="20">
        <f>'Budget - Grantville'!K39+'Budget - Tyler'!K39</f>
        <v>0</v>
      </c>
      <c r="L39" s="20">
        <f>'Budget - Grantville'!L39+'Budget - Tyler'!L39</f>
        <v>0</v>
      </c>
      <c r="M39" s="20">
        <f>'Budget - Grantville'!M39+'Budget - Tyler'!M39</f>
        <v>0</v>
      </c>
      <c r="N39" s="20">
        <f t="shared" si="12"/>
        <v>0</v>
      </c>
      <c r="O39" s="31">
        <v>11409.35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4.25" customHeight="1">
      <c r="A40" s="33" t="s">
        <v>30</v>
      </c>
      <c r="B40" s="26">
        <f t="shared" ref="B40:M40" si="13">SUM(B35:B39)</f>
        <v>1200</v>
      </c>
      <c r="C40" s="26">
        <f t="shared" si="13"/>
        <v>1200</v>
      </c>
      <c r="D40" s="26">
        <f t="shared" si="13"/>
        <v>1400</v>
      </c>
      <c r="E40" s="26">
        <f t="shared" si="13"/>
        <v>1200</v>
      </c>
      <c r="F40" s="26">
        <f t="shared" si="13"/>
        <v>1200</v>
      </c>
      <c r="G40" s="26">
        <f t="shared" si="13"/>
        <v>1200</v>
      </c>
      <c r="H40" s="26">
        <f t="shared" si="13"/>
        <v>1400</v>
      </c>
      <c r="I40" s="26">
        <f t="shared" si="13"/>
        <v>1200</v>
      </c>
      <c r="J40" s="26">
        <f t="shared" si="13"/>
        <v>1200</v>
      </c>
      <c r="K40" s="26">
        <f t="shared" si="13"/>
        <v>1200</v>
      </c>
      <c r="L40" s="26">
        <f t="shared" si="13"/>
        <v>1400</v>
      </c>
      <c r="M40" s="26">
        <f t="shared" si="13"/>
        <v>1200</v>
      </c>
      <c r="N40" s="26">
        <f t="shared" si="12"/>
        <v>15000</v>
      </c>
      <c r="O40" s="26">
        <f>SUM(O35:O39)</f>
        <v>18613.45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4.25" customHeight="1">
      <c r="A41" s="33" t="s">
        <v>36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0">
        <f t="shared" si="12"/>
        <v>0</v>
      </c>
      <c r="O41" s="20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4.25" customHeight="1">
      <c r="A42" s="39" t="s">
        <v>37</v>
      </c>
      <c r="B42" s="20">
        <f>'Budget - Grantville'!B42+'Budget - Tyler'!B42</f>
        <v>200</v>
      </c>
      <c r="C42" s="20">
        <f>'Budget - Grantville'!C42+'Budget - Tyler'!C42</f>
        <v>200</v>
      </c>
      <c r="D42" s="20">
        <f>'Budget - Grantville'!D42+'Budget - Tyler'!D42</f>
        <v>200</v>
      </c>
      <c r="E42" s="20">
        <f>'Budget - Grantville'!E42+'Budget - Tyler'!E42</f>
        <v>200</v>
      </c>
      <c r="F42" s="20">
        <f>'Budget - Grantville'!F42+'Budget - Tyler'!F42</f>
        <v>200</v>
      </c>
      <c r="G42" s="20">
        <f>'Budget - Grantville'!G42+'Budget - Tyler'!G42</f>
        <v>200</v>
      </c>
      <c r="H42" s="20">
        <f>'Budget - Grantville'!H42+'Budget - Tyler'!H42</f>
        <v>200</v>
      </c>
      <c r="I42" s="20">
        <f>'Budget - Grantville'!I42+'Budget - Tyler'!I42</f>
        <v>200</v>
      </c>
      <c r="J42" s="20">
        <f>'Budget - Grantville'!J42+'Budget - Tyler'!J42</f>
        <v>200</v>
      </c>
      <c r="K42" s="20">
        <f>'Budget - Grantville'!K42+'Budget - Tyler'!K42</f>
        <v>200</v>
      </c>
      <c r="L42" s="20">
        <f>'Budget - Grantville'!L42+'Budget - Tyler'!L42</f>
        <v>200</v>
      </c>
      <c r="M42" s="20">
        <f>'Budget - Grantville'!M42+'Budget - Tyler'!M42</f>
        <v>200</v>
      </c>
      <c r="N42" s="20">
        <f t="shared" si="12"/>
        <v>2400</v>
      </c>
      <c r="O42" s="31">
        <v>2131.2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4.25" customHeight="1">
      <c r="A43" s="39" t="s">
        <v>38</v>
      </c>
      <c r="B43" s="20">
        <f>'Budget - Grantville'!B43+'Budget - Tyler'!B43</f>
        <v>2080.029594</v>
      </c>
      <c r="C43" s="20">
        <f>'Budget - Grantville'!C43+'Budget - Tyler'!C43</f>
        <v>2090.278349</v>
      </c>
      <c r="D43" s="20">
        <f>'Budget - Grantville'!D43+'Budget - Tyler'!D43</f>
        <v>2096.461691</v>
      </c>
      <c r="E43" s="20">
        <f>'Budget - Grantville'!E43+'Budget - Tyler'!E43</f>
        <v>2102.212199</v>
      </c>
      <c r="F43" s="20">
        <f>'Budget - Grantville'!F43+'Budget - Tyler'!F43</f>
        <v>2130.417878</v>
      </c>
      <c r="G43" s="20">
        <f>'Budget - Grantville'!G43+'Budget - Tyler'!G43</f>
        <v>2154.417159</v>
      </c>
      <c r="H43" s="20">
        <f>'Budget - Grantville'!H43+'Budget - Tyler'!H43</f>
        <v>2176.736491</v>
      </c>
      <c r="I43" s="20">
        <f>'Budget - Grantville'!I43+'Budget - Tyler'!I43</f>
        <v>2197.493469</v>
      </c>
      <c r="J43" s="20">
        <f>'Budget - Grantville'!J43+'Budget - Tyler'!J43</f>
        <v>2182.510899</v>
      </c>
      <c r="K43" s="20">
        <f>'Budget - Grantville'!K43+'Budget - Tyler'!K43</f>
        <v>2171.925109</v>
      </c>
      <c r="L43" s="20">
        <f>'Budget - Grantville'!L43+'Budget - Tyler'!L43</f>
        <v>2162.080325</v>
      </c>
      <c r="M43" s="20">
        <f>'Budget - Grantville'!M43+'Budget - Tyler'!M43</f>
        <v>2164.461478</v>
      </c>
      <c r="N43" s="20">
        <f t="shared" si="12"/>
        <v>25709.02464</v>
      </c>
      <c r="O43" s="31">
        <v>24000.0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4.25" customHeight="1">
      <c r="A44" s="39" t="s">
        <v>39</v>
      </c>
      <c r="B44" s="20">
        <f>'Budget - Grantville'!B44+'Budget - Tyler'!B44</f>
        <v>0</v>
      </c>
      <c r="C44" s="20">
        <f>'Budget - Grantville'!C44+'Budget - Tyler'!C44</f>
        <v>0</v>
      </c>
      <c r="D44" s="20">
        <f>'Budget - Grantville'!D44+'Budget - Tyler'!D44</f>
        <v>0</v>
      </c>
      <c r="E44" s="20">
        <f>'Budget - Grantville'!E44+'Budget - Tyler'!E44</f>
        <v>0</v>
      </c>
      <c r="F44" s="20">
        <f>'Budget - Grantville'!F44+'Budget - Tyler'!F44</f>
        <v>0</v>
      </c>
      <c r="G44" s="20">
        <f>'Budget - Grantville'!G44+'Budget - Tyler'!G44</f>
        <v>0</v>
      </c>
      <c r="H44" s="20">
        <f>'Budget - Grantville'!H44+'Budget - Tyler'!H44</f>
        <v>0</v>
      </c>
      <c r="I44" s="20">
        <f>'Budget - Grantville'!I44+'Budget - Tyler'!I44</f>
        <v>0</v>
      </c>
      <c r="J44" s="20">
        <f>'Budget - Grantville'!J44+'Budget - Tyler'!J44</f>
        <v>0</v>
      </c>
      <c r="K44" s="20">
        <f>'Budget - Grantville'!K44+'Budget - Tyler'!K44</f>
        <v>0</v>
      </c>
      <c r="L44" s="20">
        <f>'Budget - Grantville'!L44+'Budget - Tyler'!L44</f>
        <v>0</v>
      </c>
      <c r="M44" s="20">
        <f>'Budget - Grantville'!M44+'Budget - Tyler'!M44</f>
        <v>0</v>
      </c>
      <c r="N44" s="20">
        <f t="shared" si="12"/>
        <v>0</v>
      </c>
      <c r="O44" s="20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4.25" customHeight="1">
      <c r="A45" s="40" t="s">
        <v>40</v>
      </c>
      <c r="B45" s="20">
        <f>'Budget - Grantville'!B45+'Budget - Tyler'!B45</f>
        <v>0</v>
      </c>
      <c r="C45" s="20">
        <f>'Budget - Grantville'!C45+'Budget - Tyler'!C45</f>
        <v>0</v>
      </c>
      <c r="D45" s="20">
        <f>'Budget - Grantville'!D45+'Budget - Tyler'!D45</f>
        <v>0</v>
      </c>
      <c r="E45" s="20">
        <f>'Budget - Grantville'!E45+'Budget - Tyler'!E45</f>
        <v>0</v>
      </c>
      <c r="F45" s="20">
        <f>'Budget - Grantville'!F45+'Budget - Tyler'!F45</f>
        <v>0</v>
      </c>
      <c r="G45" s="20">
        <f>'Budget - Grantville'!G45+'Budget - Tyler'!G45</f>
        <v>0</v>
      </c>
      <c r="H45" s="20">
        <f>'Budget - Grantville'!H45+'Budget - Tyler'!H45</f>
        <v>300</v>
      </c>
      <c r="I45" s="20">
        <f>'Budget - Grantville'!I45+'Budget - Tyler'!I45</f>
        <v>150</v>
      </c>
      <c r="J45" s="20">
        <f>'Budget - Grantville'!J45+'Budget - Tyler'!J45</f>
        <v>0</v>
      </c>
      <c r="K45" s="20">
        <f>'Budget - Grantville'!K45+'Budget - Tyler'!K45</f>
        <v>0</v>
      </c>
      <c r="L45" s="20">
        <f>'Budget - Grantville'!L45+'Budget - Tyler'!L45</f>
        <v>0</v>
      </c>
      <c r="M45" s="20">
        <f>'Budget - Grantville'!M45+'Budget - Tyler'!M45</f>
        <v>0</v>
      </c>
      <c r="N45" s="20">
        <f t="shared" si="12"/>
        <v>450</v>
      </c>
      <c r="O45" s="31">
        <v>600.0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4.25" customHeight="1">
      <c r="A46" s="40" t="s">
        <v>41</v>
      </c>
      <c r="B46" s="20">
        <f>'Budget - Grantville'!B46+'Budget - Tyler'!B46</f>
        <v>0</v>
      </c>
      <c r="C46" s="20">
        <f>'Budget - Grantville'!C46+'Budget - Tyler'!C46</f>
        <v>0</v>
      </c>
      <c r="D46" s="20">
        <f>'Budget - Grantville'!D46+'Budget - Tyler'!D46</f>
        <v>0</v>
      </c>
      <c r="E46" s="20">
        <f>'Budget - Grantville'!E46+'Budget - Tyler'!E46</f>
        <v>0</v>
      </c>
      <c r="F46" s="20">
        <f>'Budget - Grantville'!F46+'Budget - Tyler'!F46</f>
        <v>0</v>
      </c>
      <c r="G46" s="20">
        <f>'Budget - Grantville'!G46+'Budget - Tyler'!G46</f>
        <v>0</v>
      </c>
      <c r="H46" s="20">
        <f>'Budget - Grantville'!H46+'Budget - Tyler'!H46</f>
        <v>300</v>
      </c>
      <c r="I46" s="20">
        <f>'Budget - Grantville'!I46+'Budget - Tyler'!I46</f>
        <v>0</v>
      </c>
      <c r="J46" s="20">
        <f>'Budget - Grantville'!J46+'Budget - Tyler'!J46</f>
        <v>0</v>
      </c>
      <c r="K46" s="20">
        <f>'Budget - Grantville'!K46+'Budget - Tyler'!K46</f>
        <v>0</v>
      </c>
      <c r="L46" s="20">
        <f>'Budget - Grantville'!L46+'Budget - Tyler'!L46</f>
        <v>0</v>
      </c>
      <c r="M46" s="20">
        <f>'Budget - Grantville'!M46+'Budget - Tyler'!M46</f>
        <v>0</v>
      </c>
      <c r="N46" s="20">
        <f t="shared" si="12"/>
        <v>300</v>
      </c>
      <c r="O46" s="31">
        <v>303.11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4.25" customHeight="1">
      <c r="A47" s="33" t="s">
        <v>42</v>
      </c>
      <c r="B47" s="26">
        <f t="shared" ref="B47:M47" si="14">SUM(B42:B46)</f>
        <v>2280.029594</v>
      </c>
      <c r="C47" s="26">
        <f t="shared" si="14"/>
        <v>2290.278349</v>
      </c>
      <c r="D47" s="26">
        <f t="shared" si="14"/>
        <v>2296.461691</v>
      </c>
      <c r="E47" s="26">
        <f t="shared" si="14"/>
        <v>2302.212199</v>
      </c>
      <c r="F47" s="26">
        <f t="shared" si="14"/>
        <v>2330.417878</v>
      </c>
      <c r="G47" s="26">
        <f t="shared" si="14"/>
        <v>2354.417159</v>
      </c>
      <c r="H47" s="26">
        <f t="shared" si="14"/>
        <v>2976.736491</v>
      </c>
      <c r="I47" s="26">
        <f t="shared" si="14"/>
        <v>2547.493469</v>
      </c>
      <c r="J47" s="26">
        <f t="shared" si="14"/>
        <v>2382.510899</v>
      </c>
      <c r="K47" s="26">
        <f t="shared" si="14"/>
        <v>2371.925109</v>
      </c>
      <c r="L47" s="26">
        <f t="shared" si="14"/>
        <v>2362.080325</v>
      </c>
      <c r="M47" s="26">
        <f t="shared" si="14"/>
        <v>2364.461478</v>
      </c>
      <c r="N47" s="26">
        <f t="shared" si="12"/>
        <v>28859.02464</v>
      </c>
      <c r="O47" s="26">
        <f>SUM(O42:O46)</f>
        <v>27034.31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4.25" customHeight="1">
      <c r="A48" s="33" t="s">
        <v>43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4.25" customHeight="1">
      <c r="A49" s="39" t="s">
        <v>44</v>
      </c>
      <c r="B49" s="20">
        <f>'Budget - Grantville'!B49+'Budget - Tyler'!B49</f>
        <v>0</v>
      </c>
      <c r="C49" s="20">
        <f>'Budget - Grantville'!C49+'Budget - Tyler'!C49</f>
        <v>0</v>
      </c>
      <c r="D49" s="20">
        <f>'Budget - Grantville'!D49+'Budget - Tyler'!D49</f>
        <v>0</v>
      </c>
      <c r="E49" s="20">
        <f>'Budget - Grantville'!E49+'Budget - Tyler'!E49</f>
        <v>0</v>
      </c>
      <c r="F49" s="20">
        <f>'Budget - Grantville'!F49+'Budget - Tyler'!F49</f>
        <v>0</v>
      </c>
      <c r="G49" s="20">
        <f>'Budget - Grantville'!G49+'Budget - Tyler'!G49</f>
        <v>0</v>
      </c>
      <c r="H49" s="20">
        <f>'Budget - Grantville'!H49+'Budget - Tyler'!H49</f>
        <v>0</v>
      </c>
      <c r="I49" s="20">
        <f>'Budget - Grantville'!I49+'Budget - Tyler'!I49</f>
        <v>0</v>
      </c>
      <c r="J49" s="20">
        <f>'Budget - Grantville'!J49+'Budget - Tyler'!J49</f>
        <v>0</v>
      </c>
      <c r="K49" s="20">
        <f>'Budget - Grantville'!K49+'Budget - Tyler'!K49</f>
        <v>0</v>
      </c>
      <c r="L49" s="20">
        <f>'Budget - Grantville'!L49+'Budget - Tyler'!L49</f>
        <v>0</v>
      </c>
      <c r="M49" s="20">
        <f>'Budget - Grantville'!M49+'Budget - Tyler'!M49</f>
        <v>0</v>
      </c>
      <c r="N49" s="20">
        <f t="shared" ref="N49:N51" si="15">(((((((((((B49)+(C49))+(D49))+(E49))+(F49))+(G49))+(H49))+(I49))+(J49))+(K49))+(L49))+(M49)</f>
        <v>0</v>
      </c>
      <c r="O49" s="20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4.25" customHeight="1">
      <c r="A50" s="39" t="s">
        <v>45</v>
      </c>
      <c r="B50" s="20">
        <f>'Budget - Grantville'!B50+'Budget - Tyler'!B50</f>
        <v>100</v>
      </c>
      <c r="C50" s="20">
        <f>'Budget - Grantville'!C50+'Budget - Tyler'!C50</f>
        <v>100</v>
      </c>
      <c r="D50" s="20">
        <f>'Budget - Grantville'!D50+'Budget - Tyler'!D50</f>
        <v>100</v>
      </c>
      <c r="E50" s="20">
        <f>'Budget - Grantville'!E50+'Budget - Tyler'!E50</f>
        <v>100</v>
      </c>
      <c r="F50" s="20">
        <f>'Budget - Grantville'!F50+'Budget - Tyler'!F50</f>
        <v>100</v>
      </c>
      <c r="G50" s="20">
        <f>'Budget - Grantville'!G50+'Budget - Tyler'!G50</f>
        <v>100</v>
      </c>
      <c r="H50" s="20">
        <f>'Budget - Grantville'!H50+'Budget - Tyler'!H50</f>
        <v>100</v>
      </c>
      <c r="I50" s="20">
        <f>'Budget - Grantville'!I50+'Budget - Tyler'!I50</f>
        <v>100</v>
      </c>
      <c r="J50" s="20">
        <f>'Budget - Grantville'!J50+'Budget - Tyler'!J50</f>
        <v>100</v>
      </c>
      <c r="K50" s="20">
        <f>'Budget - Grantville'!K50+'Budget - Tyler'!K50</f>
        <v>100</v>
      </c>
      <c r="L50" s="20">
        <f>'Budget - Grantville'!L50+'Budget - Tyler'!L50</f>
        <v>100</v>
      </c>
      <c r="M50" s="20">
        <f>'Budget - Grantville'!M50+'Budget - Tyler'!M50</f>
        <v>100</v>
      </c>
      <c r="N50" s="20">
        <f t="shared" si="15"/>
        <v>1200</v>
      </c>
      <c r="O50" s="31">
        <f>976.14+1400.39</f>
        <v>2376.53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4.25" customHeight="1">
      <c r="A51" s="39" t="s">
        <v>46</v>
      </c>
      <c r="B51" s="20">
        <f>'Budget - Grantville'!B51+'Budget - Tyler'!B51</f>
        <v>100</v>
      </c>
      <c r="C51" s="20">
        <f>'Budget - Grantville'!C51+'Budget - Tyler'!C51</f>
        <v>100</v>
      </c>
      <c r="D51" s="20">
        <f>'Budget - Grantville'!D51+'Budget - Tyler'!D51</f>
        <v>100</v>
      </c>
      <c r="E51" s="20">
        <f>'Budget - Grantville'!E51+'Budget - Tyler'!E51</f>
        <v>100</v>
      </c>
      <c r="F51" s="20">
        <f>'Budget - Grantville'!F51+'Budget - Tyler'!F51</f>
        <v>100</v>
      </c>
      <c r="G51" s="20">
        <f>'Budget - Grantville'!G51+'Budget - Tyler'!G51</f>
        <v>100</v>
      </c>
      <c r="H51" s="20">
        <f>'Budget - Grantville'!H51+'Budget - Tyler'!H51</f>
        <v>100</v>
      </c>
      <c r="I51" s="20">
        <f>'Budget - Grantville'!I51+'Budget - Tyler'!I51</f>
        <v>100</v>
      </c>
      <c r="J51" s="20">
        <f>'Budget - Grantville'!J51+'Budget - Tyler'!J51</f>
        <v>100</v>
      </c>
      <c r="K51" s="20">
        <f>'Budget - Grantville'!K51+'Budget - Tyler'!K51</f>
        <v>100</v>
      </c>
      <c r="L51" s="20">
        <f>'Budget - Grantville'!L51+'Budget - Tyler'!L51</f>
        <v>100</v>
      </c>
      <c r="M51" s="20">
        <f>'Budget - Grantville'!M51+'Budget - Tyler'!M51</f>
        <v>100</v>
      </c>
      <c r="N51" s="20">
        <f t="shared" si="15"/>
        <v>1200</v>
      </c>
      <c r="O51" s="31">
        <f>72.45+466</f>
        <v>538.45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4.25" customHeight="1">
      <c r="A52" s="40" t="s">
        <v>47</v>
      </c>
      <c r="B52" s="20">
        <f>'Budget - Grantville'!B52+'Budget - Tyler'!B52</f>
        <v>0</v>
      </c>
      <c r="C52" s="20">
        <f>'Budget - Grantville'!C52+'Budget - Tyler'!C52</f>
        <v>0</v>
      </c>
      <c r="D52" s="20">
        <f>'Budget - Grantville'!D52+'Budget - Tyler'!D52</f>
        <v>0</v>
      </c>
      <c r="E52" s="20">
        <f>'Budget - Grantville'!E52+'Budget - Tyler'!E52</f>
        <v>0</v>
      </c>
      <c r="F52" s="20">
        <f>'Budget - Grantville'!F52+'Budget - Tyler'!F52</f>
        <v>0</v>
      </c>
      <c r="G52" s="20">
        <f>'Budget - Grantville'!G52+'Budget - Tyler'!G52</f>
        <v>0</v>
      </c>
      <c r="H52" s="20">
        <f>'Budget - Grantville'!H52+'Budget - Tyler'!H52</f>
        <v>0</v>
      </c>
      <c r="I52" s="20">
        <f>'Budget - Grantville'!I52+'Budget - Tyler'!I52</f>
        <v>0</v>
      </c>
      <c r="J52" s="20">
        <f>'Budget - Grantville'!J52+'Budget - Tyler'!J52</f>
        <v>0</v>
      </c>
      <c r="K52" s="20">
        <f>'Budget - Grantville'!K52+'Budget - Tyler'!K52</f>
        <v>0</v>
      </c>
      <c r="L52" s="20">
        <f>'Budget - Grantville'!L52+'Budget - Tyler'!L52</f>
        <v>0</v>
      </c>
      <c r="M52" s="20">
        <f>'Budget - Grantville'!M52+'Budget - Tyler'!M52</f>
        <v>0</v>
      </c>
      <c r="N52" s="41"/>
      <c r="O52" s="31">
        <v>49.95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4.25" customHeight="1">
      <c r="A53" s="33" t="s">
        <v>48</v>
      </c>
      <c r="B53" s="26">
        <f t="shared" ref="B53:M53" si="16">SUM(B49:B52)</f>
        <v>200</v>
      </c>
      <c r="C53" s="26">
        <f t="shared" si="16"/>
        <v>200</v>
      </c>
      <c r="D53" s="26">
        <f t="shared" si="16"/>
        <v>200</v>
      </c>
      <c r="E53" s="26">
        <f t="shared" si="16"/>
        <v>200</v>
      </c>
      <c r="F53" s="26">
        <f t="shared" si="16"/>
        <v>200</v>
      </c>
      <c r="G53" s="26">
        <f t="shared" si="16"/>
        <v>200</v>
      </c>
      <c r="H53" s="26">
        <f t="shared" si="16"/>
        <v>200</v>
      </c>
      <c r="I53" s="26">
        <f t="shared" si="16"/>
        <v>200</v>
      </c>
      <c r="J53" s="26">
        <f t="shared" si="16"/>
        <v>200</v>
      </c>
      <c r="K53" s="26">
        <f t="shared" si="16"/>
        <v>200</v>
      </c>
      <c r="L53" s="26">
        <f t="shared" si="16"/>
        <v>200</v>
      </c>
      <c r="M53" s="26">
        <f t="shared" si="16"/>
        <v>200</v>
      </c>
      <c r="N53" s="26">
        <f>(((((((((((B53)+(C53))+(D53))+(E53))+(F53))+(G53))+(H53))+(I53))+(J53))+(K53))+(L53))+(M53)</f>
        <v>2400</v>
      </c>
      <c r="O53" s="26">
        <f>SUM(O49:O52)</f>
        <v>2964.93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4.25" customHeight="1">
      <c r="A54" s="33" t="s">
        <v>49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4.25" customHeight="1">
      <c r="A55" s="39" t="s">
        <v>50</v>
      </c>
      <c r="B55" s="20">
        <f>'Budget - Grantville'!B57+'Budget - Tyler'!B57</f>
        <v>600</v>
      </c>
      <c r="C55" s="20">
        <f>'Budget - Grantville'!C57+'Budget - Tyler'!C57</f>
        <v>600</v>
      </c>
      <c r="D55" s="20">
        <f>'Budget - Grantville'!D57+'Budget - Tyler'!D57</f>
        <v>600</v>
      </c>
      <c r="E55" s="20">
        <f>'Budget - Grantville'!E57+'Budget - Tyler'!E57</f>
        <v>600</v>
      </c>
      <c r="F55" s="20">
        <f>'Budget - Grantville'!F57+'Budget - Tyler'!F57</f>
        <v>600</v>
      </c>
      <c r="G55" s="20">
        <f>'Budget - Grantville'!G57+'Budget - Tyler'!G57</f>
        <v>600</v>
      </c>
      <c r="H55" s="20">
        <f>'Budget - Grantville'!H57+'Budget - Tyler'!H57</f>
        <v>600</v>
      </c>
      <c r="I55" s="20">
        <f>'Budget - Grantville'!I57+'Budget - Tyler'!I57</f>
        <v>600</v>
      </c>
      <c r="J55" s="20">
        <f>'Budget - Grantville'!J57+'Budget - Tyler'!J57</f>
        <v>600</v>
      </c>
      <c r="K55" s="20">
        <f>'Budget - Grantville'!K57+'Budget - Tyler'!K57</f>
        <v>600</v>
      </c>
      <c r="L55" s="20">
        <f>'Budget - Grantville'!L57+'Budget - Tyler'!L57</f>
        <v>600</v>
      </c>
      <c r="M55" s="20">
        <f>'Budget - Grantville'!M57+'Budget - Tyler'!M57</f>
        <v>600</v>
      </c>
      <c r="N55" s="20">
        <f t="shared" ref="N55:N56" si="17">(((((((((((B55)+(C55))+(D55))+(E55))+(F55))+(G55))+(H55))+(I55))+(J55))+(K55))+(L55))+(M55)</f>
        <v>7200</v>
      </c>
      <c r="O55" s="20">
        <f>3543.6+2575</f>
        <v>6118.6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4.25" customHeight="1">
      <c r="A56" s="39" t="s">
        <v>51</v>
      </c>
      <c r="B56" s="20">
        <f>'Budget - Grantville'!B58+'Budget - Tyler'!B58</f>
        <v>0</v>
      </c>
      <c r="C56" s="20">
        <f>'Budget - Grantville'!C58+'Budget - Tyler'!C58</f>
        <v>0</v>
      </c>
      <c r="D56" s="20">
        <f>'Budget - Grantville'!D58+'Budget - Tyler'!D58</f>
        <v>0</v>
      </c>
      <c r="E56" s="20">
        <f>'Budget - Grantville'!E58+'Budget - Tyler'!E58</f>
        <v>0</v>
      </c>
      <c r="F56" s="20">
        <f>'Budget - Grantville'!F58+'Budget - Tyler'!F58</f>
        <v>0</v>
      </c>
      <c r="G56" s="20">
        <f>'Budget - Grantville'!G58+'Budget - Tyler'!G58</f>
        <v>0</v>
      </c>
      <c r="H56" s="20">
        <f>'Budget - Grantville'!H58+'Budget - Tyler'!H58</f>
        <v>0</v>
      </c>
      <c r="I56" s="20">
        <f>'Budget - Grantville'!I58+'Budget - Tyler'!I58</f>
        <v>0</v>
      </c>
      <c r="J56" s="20">
        <f>'Budget - Grantville'!J58+'Budget - Tyler'!J58</f>
        <v>0</v>
      </c>
      <c r="K56" s="20">
        <f>'Budget - Grantville'!K58+'Budget - Tyler'!K58</f>
        <v>0</v>
      </c>
      <c r="L56" s="20">
        <f>'Budget - Grantville'!L58+'Budget - Tyler'!L58</f>
        <v>0</v>
      </c>
      <c r="M56" s="20">
        <f>'Budget - Grantville'!M58+'Budget - Tyler'!M58</f>
        <v>0</v>
      </c>
      <c r="N56" s="20">
        <f t="shared" si="17"/>
        <v>0</v>
      </c>
      <c r="O56" s="20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4.25" customHeight="1">
      <c r="A57" s="39" t="s">
        <v>52</v>
      </c>
      <c r="B57" s="20">
        <f>'Budget - Grantville'!B59+'Budget - Tyler'!B59</f>
        <v>0</v>
      </c>
      <c r="C57" s="20">
        <f>'Budget - Grantville'!C59+'Budget - Tyler'!C59</f>
        <v>0</v>
      </c>
      <c r="D57" s="20">
        <f>'Budget - Grantville'!D59+'Budget - Tyler'!D59</f>
        <v>0</v>
      </c>
      <c r="E57" s="20">
        <f>'Budget - Grantville'!E59+'Budget - Tyler'!E59</f>
        <v>0</v>
      </c>
      <c r="F57" s="20">
        <f>'Budget - Grantville'!F59+'Budget - Tyler'!F59</f>
        <v>0</v>
      </c>
      <c r="G57" s="20">
        <f>'Budget - Grantville'!G59+'Budget - Tyler'!G59</f>
        <v>0</v>
      </c>
      <c r="H57" s="20">
        <f>'Budget - Grantville'!H59+'Budget - Tyler'!H59</f>
        <v>0</v>
      </c>
      <c r="I57" s="20">
        <f>'Budget - Grantville'!I59+'Budget - Tyler'!I59</f>
        <v>0</v>
      </c>
      <c r="J57" s="20">
        <f>'Budget - Grantville'!J59+'Budget - Tyler'!J59</f>
        <v>0</v>
      </c>
      <c r="K57" s="20">
        <f>'Budget - Grantville'!K59+'Budget - Tyler'!K59</f>
        <v>0</v>
      </c>
      <c r="L57" s="20">
        <f>'Budget - Grantville'!L59+'Budget - Tyler'!L59</f>
        <v>0</v>
      </c>
      <c r="M57" s="20">
        <f>'Budget - Grantville'!M59+'Budget - Tyler'!M59</f>
        <v>0</v>
      </c>
      <c r="N57" s="18"/>
      <c r="O57" s="18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4.25" customHeight="1">
      <c r="A58" s="39" t="s">
        <v>53</v>
      </c>
      <c r="B58" s="20">
        <f>'Budget - Grantville'!B60+'Budget - Tyler'!B60</f>
        <v>0</v>
      </c>
      <c r="C58" s="20">
        <f>'Budget - Grantville'!C60+'Budget - Tyler'!C60</f>
        <v>0</v>
      </c>
      <c r="D58" s="20">
        <f>'Budget - Grantville'!D60+'Budget - Tyler'!D60</f>
        <v>0</v>
      </c>
      <c r="E58" s="20">
        <f>'Budget - Grantville'!E60+'Budget - Tyler'!E60</f>
        <v>0</v>
      </c>
      <c r="F58" s="20">
        <f>'Budget - Grantville'!F60+'Budget - Tyler'!F60</f>
        <v>0</v>
      </c>
      <c r="G58" s="20">
        <f>'Budget - Grantville'!G60+'Budget - Tyler'!G60</f>
        <v>0</v>
      </c>
      <c r="H58" s="20">
        <f>'Budget - Grantville'!H60+'Budget - Tyler'!H60</f>
        <v>0</v>
      </c>
      <c r="I58" s="20">
        <f>'Budget - Grantville'!I60+'Budget - Tyler'!I60</f>
        <v>0</v>
      </c>
      <c r="J58" s="20">
        <f>'Budget - Grantville'!J60+'Budget - Tyler'!J60</f>
        <v>0</v>
      </c>
      <c r="K58" s="20">
        <f>'Budget - Grantville'!K60+'Budget - Tyler'!K60</f>
        <v>0</v>
      </c>
      <c r="L58" s="20">
        <f>'Budget - Grantville'!L60+'Budget - Tyler'!L60</f>
        <v>0</v>
      </c>
      <c r="M58" s="20">
        <f>'Budget - Grantville'!M60+'Budget - Tyler'!M60</f>
        <v>0</v>
      </c>
      <c r="N58" s="18"/>
      <c r="O58" s="18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4.25" customHeight="1">
      <c r="A59" s="39" t="s">
        <v>54</v>
      </c>
      <c r="B59" s="20">
        <f>'Budget - Grantville'!B61+'Budget - Tyler'!B61</f>
        <v>0</v>
      </c>
      <c r="C59" s="20">
        <f>'Budget - Grantville'!C61+'Budget - Tyler'!C61</f>
        <v>0</v>
      </c>
      <c r="D59" s="20">
        <f>'Budget - Grantville'!D61+'Budget - Tyler'!D61</f>
        <v>0</v>
      </c>
      <c r="E59" s="20">
        <f>'Budget - Grantville'!E61+'Budget - Tyler'!E61</f>
        <v>0</v>
      </c>
      <c r="F59" s="20">
        <f>'Budget - Grantville'!F61+'Budget - Tyler'!F61</f>
        <v>0</v>
      </c>
      <c r="G59" s="20">
        <f>'Budget - Grantville'!G61+'Budget - Tyler'!G61</f>
        <v>0</v>
      </c>
      <c r="H59" s="20">
        <f>'Budget - Grantville'!H61+'Budget - Tyler'!H61</f>
        <v>0</v>
      </c>
      <c r="I59" s="20">
        <f>'Budget - Grantville'!I61+'Budget - Tyler'!I61</f>
        <v>0</v>
      </c>
      <c r="J59" s="20">
        <f>'Budget - Grantville'!J61+'Budget - Tyler'!J61</f>
        <v>0</v>
      </c>
      <c r="K59" s="20">
        <f>'Budget - Grantville'!K61+'Budget - Tyler'!K61</f>
        <v>0</v>
      </c>
      <c r="L59" s="20">
        <f>'Budget - Grantville'!L61+'Budget - Tyler'!L61</f>
        <v>0</v>
      </c>
      <c r="M59" s="20">
        <f>'Budget - Grantville'!M61+'Budget - Tyler'!M61</f>
        <v>0</v>
      </c>
      <c r="N59" s="18"/>
      <c r="O59" s="18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4.25" customHeight="1">
      <c r="A60" s="39" t="s">
        <v>55</v>
      </c>
      <c r="B60" s="20">
        <f>'Budget - Grantville'!B62+'Budget - Tyler'!B62</f>
        <v>0</v>
      </c>
      <c r="C60" s="20">
        <f>'Budget - Grantville'!C62+'Budget - Tyler'!C62</f>
        <v>0</v>
      </c>
      <c r="D60" s="20">
        <f>'Budget - Grantville'!D62+'Budget - Tyler'!D62</f>
        <v>0</v>
      </c>
      <c r="E60" s="20">
        <f>'Budget - Grantville'!E62+'Budget - Tyler'!E62</f>
        <v>0</v>
      </c>
      <c r="F60" s="20">
        <f>'Budget - Grantville'!F62+'Budget - Tyler'!F62</f>
        <v>0</v>
      </c>
      <c r="G60" s="20">
        <f>'Budget - Grantville'!G62+'Budget - Tyler'!G62</f>
        <v>0</v>
      </c>
      <c r="H60" s="20">
        <f>'Budget - Grantville'!H62+'Budget - Tyler'!H62</f>
        <v>0</v>
      </c>
      <c r="I60" s="20">
        <f>'Budget - Grantville'!I62+'Budget - Tyler'!I62</f>
        <v>0</v>
      </c>
      <c r="J60" s="20">
        <f>'Budget - Grantville'!J62+'Budget - Tyler'!J62</f>
        <v>0</v>
      </c>
      <c r="K60" s="20">
        <f>'Budget - Grantville'!K62+'Budget - Tyler'!K62</f>
        <v>0</v>
      </c>
      <c r="L60" s="20">
        <f>'Budget - Grantville'!L62+'Budget - Tyler'!L62</f>
        <v>0</v>
      </c>
      <c r="M60" s="20">
        <f>'Budget - Grantville'!M62+'Budget - Tyler'!M62</f>
        <v>0</v>
      </c>
      <c r="N60" s="18"/>
      <c r="O60" s="18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4.25" customHeight="1">
      <c r="A61" s="39" t="s">
        <v>56</v>
      </c>
      <c r="B61" s="20">
        <f>'Budget - Grantville'!B63+'Budget - Tyler'!B63</f>
        <v>0</v>
      </c>
      <c r="C61" s="20">
        <f>'Budget - Grantville'!C63+'Budget - Tyler'!C63</f>
        <v>0</v>
      </c>
      <c r="D61" s="20">
        <f>'Budget - Grantville'!D63+'Budget - Tyler'!D63</f>
        <v>0</v>
      </c>
      <c r="E61" s="20">
        <f>'Budget - Grantville'!E63+'Budget - Tyler'!E63</f>
        <v>0</v>
      </c>
      <c r="F61" s="20">
        <f>'Budget - Grantville'!F63+'Budget - Tyler'!F63</f>
        <v>0</v>
      </c>
      <c r="G61" s="20">
        <f>'Budget - Grantville'!G63+'Budget - Tyler'!G63</f>
        <v>0</v>
      </c>
      <c r="H61" s="20">
        <f>'Budget - Grantville'!H63+'Budget - Tyler'!H63</f>
        <v>0</v>
      </c>
      <c r="I61" s="20">
        <f>'Budget - Grantville'!I63+'Budget - Tyler'!I63</f>
        <v>0</v>
      </c>
      <c r="J61" s="20">
        <f>'Budget - Grantville'!J63+'Budget - Tyler'!J63</f>
        <v>0</v>
      </c>
      <c r="K61" s="20">
        <f>'Budget - Grantville'!K63+'Budget - Tyler'!K63</f>
        <v>0</v>
      </c>
      <c r="L61" s="20">
        <f>'Budget - Grantville'!L63+'Budget - Tyler'!L63</f>
        <v>0</v>
      </c>
      <c r="M61" s="20">
        <f>'Budget - Grantville'!M63+'Budget - Tyler'!M63</f>
        <v>0</v>
      </c>
      <c r="N61" s="20">
        <f t="shared" ref="N61:N62" si="18">(((((((((((B61)+(C61))+(D61))+(E61))+(F61))+(G61))+(H61))+(I61))+(J61))+(K61))+(L61))+(M61)</f>
        <v>0</v>
      </c>
      <c r="O61" s="20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4.25" customHeight="1">
      <c r="A62" s="39" t="s">
        <v>57</v>
      </c>
      <c r="B62" s="20">
        <f>'Budget - Grantville'!B64+'Budget - Tyler'!B64</f>
        <v>600</v>
      </c>
      <c r="C62" s="20">
        <f>'Budget - Grantville'!C64+'Budget - Tyler'!C64</f>
        <v>600</v>
      </c>
      <c r="D62" s="20">
        <f>'Budget - Grantville'!D64+'Budget - Tyler'!D64</f>
        <v>600</v>
      </c>
      <c r="E62" s="20">
        <f>'Budget - Grantville'!E64+'Budget - Tyler'!E64</f>
        <v>600</v>
      </c>
      <c r="F62" s="20">
        <f>'Budget - Grantville'!F64+'Budget - Tyler'!F64</f>
        <v>600</v>
      </c>
      <c r="G62" s="20">
        <f>'Budget - Grantville'!G64+'Budget - Tyler'!G64</f>
        <v>600</v>
      </c>
      <c r="H62" s="20">
        <f>'Budget - Grantville'!H64+'Budget - Tyler'!H64</f>
        <v>600</v>
      </c>
      <c r="I62" s="20">
        <f>'Budget - Grantville'!I64+'Budget - Tyler'!I64</f>
        <v>600</v>
      </c>
      <c r="J62" s="20">
        <f>'Budget - Grantville'!J64+'Budget - Tyler'!J64</f>
        <v>600</v>
      </c>
      <c r="K62" s="20">
        <f>'Budget - Grantville'!K64+'Budget - Tyler'!K64</f>
        <v>600</v>
      </c>
      <c r="L62" s="20">
        <f>'Budget - Grantville'!L64+'Budget - Tyler'!L64</f>
        <v>600</v>
      </c>
      <c r="M62" s="20">
        <f>'Budget - Grantville'!M64+'Budget - Tyler'!M64</f>
        <v>600</v>
      </c>
      <c r="N62" s="20">
        <f t="shared" si="18"/>
        <v>7200</v>
      </c>
      <c r="O62" s="31">
        <v>8843.08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4.25" customHeight="1">
      <c r="A63" s="39" t="s">
        <v>58</v>
      </c>
      <c r="B63" s="20">
        <f>'Budget - Grantville'!B65+'Budget - Tyler'!B65</f>
        <v>0</v>
      </c>
      <c r="C63" s="20">
        <f>'Budget - Grantville'!C65+'Budget - Tyler'!C65</f>
        <v>0</v>
      </c>
      <c r="D63" s="20">
        <f>'Budget - Grantville'!D65+'Budget - Tyler'!D65</f>
        <v>0</v>
      </c>
      <c r="E63" s="20">
        <f>'Budget - Grantville'!E65+'Budget - Tyler'!E65</f>
        <v>0</v>
      </c>
      <c r="F63" s="20">
        <f>'Budget - Grantville'!F65+'Budget - Tyler'!F65</f>
        <v>0</v>
      </c>
      <c r="G63" s="20">
        <f>'Budget - Grantville'!G65+'Budget - Tyler'!G65</f>
        <v>0</v>
      </c>
      <c r="H63" s="20">
        <f>'Budget - Grantville'!H65+'Budget - Tyler'!H65</f>
        <v>0</v>
      </c>
      <c r="I63" s="20">
        <f>'Budget - Grantville'!I65+'Budget - Tyler'!I65</f>
        <v>0</v>
      </c>
      <c r="J63" s="20">
        <f>'Budget - Grantville'!J65+'Budget - Tyler'!J65</f>
        <v>0</v>
      </c>
      <c r="K63" s="20">
        <f>'Budget - Grantville'!K65+'Budget - Tyler'!K65</f>
        <v>0</v>
      </c>
      <c r="L63" s="20">
        <f>'Budget - Grantville'!L65+'Budget - Tyler'!L65</f>
        <v>0</v>
      </c>
      <c r="M63" s="20">
        <f>'Budget - Grantville'!M65+'Budget - Tyler'!M65</f>
        <v>0</v>
      </c>
      <c r="N63" s="18"/>
      <c r="O63" s="18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4.25" customHeight="1">
      <c r="A64" s="33" t="s">
        <v>59</v>
      </c>
      <c r="B64" s="26">
        <f t="shared" ref="B64:M64" si="19">SUM(B55:B63)</f>
        <v>1200</v>
      </c>
      <c r="C64" s="26">
        <f t="shared" si="19"/>
        <v>1200</v>
      </c>
      <c r="D64" s="26">
        <f t="shared" si="19"/>
        <v>1200</v>
      </c>
      <c r="E64" s="26">
        <f t="shared" si="19"/>
        <v>1200</v>
      </c>
      <c r="F64" s="26">
        <f t="shared" si="19"/>
        <v>1200</v>
      </c>
      <c r="G64" s="26">
        <f t="shared" si="19"/>
        <v>1200</v>
      </c>
      <c r="H64" s="26">
        <f t="shared" si="19"/>
        <v>1200</v>
      </c>
      <c r="I64" s="26">
        <f t="shared" si="19"/>
        <v>1200</v>
      </c>
      <c r="J64" s="26">
        <f t="shared" si="19"/>
        <v>1200</v>
      </c>
      <c r="K64" s="26">
        <f t="shared" si="19"/>
        <v>1200</v>
      </c>
      <c r="L64" s="26">
        <f t="shared" si="19"/>
        <v>1200</v>
      </c>
      <c r="M64" s="26">
        <f t="shared" si="19"/>
        <v>1200</v>
      </c>
      <c r="N64" s="26">
        <f>(((((((((((B64)+(C64))+(D64))+(E64))+(F64))+(G64))+(H64))+(I64))+(J64))+(K64))+(L64))+(M64)</f>
        <v>14400</v>
      </c>
      <c r="O64" s="26">
        <f>SUM(O55:O63)</f>
        <v>14961.68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4.25" customHeight="1">
      <c r="A65" s="33" t="s">
        <v>60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4.25" customHeight="1">
      <c r="A66" s="39" t="s">
        <v>61</v>
      </c>
      <c r="B66" s="20">
        <f>'Budget - Grantville'!B68+'Budget - Tyler'!B68</f>
        <v>0</v>
      </c>
      <c r="C66" s="20">
        <f>'Budget - Grantville'!C68+'Budget - Tyler'!C68</f>
        <v>0</v>
      </c>
      <c r="D66" s="20">
        <f>'Budget - Grantville'!D68+'Budget - Tyler'!D68</f>
        <v>0</v>
      </c>
      <c r="E66" s="20">
        <f>'Budget - Grantville'!E68+'Budget - Tyler'!E68</f>
        <v>0</v>
      </c>
      <c r="F66" s="20">
        <f>'Budget - Grantville'!F68+'Budget - Tyler'!F68</f>
        <v>0</v>
      </c>
      <c r="G66" s="20">
        <f>'Budget - Grantville'!G68+'Budget - Tyler'!G68</f>
        <v>0</v>
      </c>
      <c r="H66" s="20">
        <f>'Budget - Grantville'!H68+'Budget - Tyler'!H68</f>
        <v>0</v>
      </c>
      <c r="I66" s="20">
        <f>'Budget - Grantville'!I68+'Budget - Tyler'!I68</f>
        <v>0</v>
      </c>
      <c r="J66" s="20">
        <f>'Budget - Grantville'!J68+'Budget - Tyler'!J68</f>
        <v>0</v>
      </c>
      <c r="K66" s="20">
        <f>'Budget - Grantville'!K68+'Budget - Tyler'!K68</f>
        <v>0</v>
      </c>
      <c r="L66" s="20">
        <f>'Budget - Grantville'!L68+'Budget - Tyler'!L68</f>
        <v>0</v>
      </c>
      <c r="M66" s="20">
        <f>'Budget - Grantville'!M68+'Budget - Tyler'!M68</f>
        <v>0</v>
      </c>
      <c r="N66" s="20">
        <f>(((((((((((B66)+(C66))+(D66))+(E66))+(F66))+(G66))+(H66))+(I66))+(J66))+(K66))+(L66))+(M66)</f>
        <v>0</v>
      </c>
      <c r="O66" s="31">
        <v>393.39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4.25" customHeight="1">
      <c r="A67" s="39" t="s">
        <v>62</v>
      </c>
      <c r="B67" s="20">
        <f>'Budget - Grantville'!B69+'Budget - Tyler'!B69</f>
        <v>715.491073</v>
      </c>
      <c r="C67" s="20">
        <f>'Budget - Grantville'!C69+'Budget - Tyler'!C69</f>
        <v>713.7807621</v>
      </c>
      <c r="D67" s="20">
        <f>'Budget - Grantville'!D69+'Budget - Tyler'!D69</f>
        <v>710.6835731</v>
      </c>
      <c r="E67" s="20">
        <f>'Budget - Grantville'!E69+'Budget - Tyler'!E69</f>
        <v>715.3017156</v>
      </c>
      <c r="F67" s="20">
        <f>'Budget - Grantville'!F69+'Budget - Tyler'!F69</f>
        <v>728.8781561</v>
      </c>
      <c r="G67" s="20">
        <f>'Budget - Grantville'!G69+'Budget - Tyler'!G69</f>
        <v>740.4998457</v>
      </c>
      <c r="H67" s="20">
        <f>'Budget - Grantville'!H69+'Budget - Tyler'!H69</f>
        <v>762.5558096</v>
      </c>
      <c r="I67" s="20">
        <f>'Budget - Grantville'!I69+'Budget - Tyler'!I69</f>
        <v>781.5612559</v>
      </c>
      <c r="J67" s="20">
        <f>'Budget - Grantville'!J69+'Budget - Tyler'!J69</f>
        <v>772.5595767</v>
      </c>
      <c r="K67" s="20">
        <f>'Budget - Grantville'!K69+'Budget - Tyler'!K69</f>
        <v>767.2012149</v>
      </c>
      <c r="L67" s="20">
        <f>'Budget - Grantville'!L69+'Budget - Tyler'!L69</f>
        <v>762.2179385</v>
      </c>
      <c r="M67" s="20">
        <f>'Budget - Grantville'!M69+'Budget - Tyler'!M69</f>
        <v>762.7750529</v>
      </c>
      <c r="N67" s="20">
        <f>N31*0.02</f>
        <v>6617.411833</v>
      </c>
      <c r="O67" s="31">
        <v>7951.4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4.25" customHeight="1">
      <c r="A68" s="33" t="s">
        <v>63</v>
      </c>
      <c r="B68" s="26">
        <f t="shared" ref="B68:M68" si="20">SUM(B66:B67)</f>
        <v>715.491073</v>
      </c>
      <c r="C68" s="26">
        <f t="shared" si="20"/>
        <v>713.7807621</v>
      </c>
      <c r="D68" s="26">
        <f t="shared" si="20"/>
        <v>710.6835731</v>
      </c>
      <c r="E68" s="26">
        <f t="shared" si="20"/>
        <v>715.3017156</v>
      </c>
      <c r="F68" s="26">
        <f t="shared" si="20"/>
        <v>728.8781561</v>
      </c>
      <c r="G68" s="26">
        <f t="shared" si="20"/>
        <v>740.4998457</v>
      </c>
      <c r="H68" s="26">
        <f t="shared" si="20"/>
        <v>762.5558096</v>
      </c>
      <c r="I68" s="26">
        <f t="shared" si="20"/>
        <v>781.5612559</v>
      </c>
      <c r="J68" s="26">
        <f t="shared" si="20"/>
        <v>772.5595767</v>
      </c>
      <c r="K68" s="26">
        <f t="shared" si="20"/>
        <v>767.2012149</v>
      </c>
      <c r="L68" s="26">
        <f t="shared" si="20"/>
        <v>762.2179385</v>
      </c>
      <c r="M68" s="26">
        <f t="shared" si="20"/>
        <v>762.7750529</v>
      </c>
      <c r="N68" s="26">
        <f>(((((((((((B68)+(C68))+(D68))+(E68))+(F68))+(G68))+(H68))+(I68))+(J68))+(K68))+(L68))+(M68)</f>
        <v>8933.505974</v>
      </c>
      <c r="O68" s="26">
        <f>SUM(O66:O67)</f>
        <v>8344.79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4.25" customHeight="1">
      <c r="A69" s="33" t="s">
        <v>64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4.25" customHeight="1">
      <c r="A70" s="39" t="s">
        <v>65</v>
      </c>
      <c r="B70" s="20">
        <f>'Budget - Grantville'!B72+'Budget - Tyler'!B72</f>
        <v>90</v>
      </c>
      <c r="C70" s="20">
        <f>'Budget - Grantville'!C72+'Budget - Tyler'!C72</f>
        <v>90</v>
      </c>
      <c r="D70" s="20">
        <f>'Budget - Grantville'!D72+'Budget - Tyler'!D72</f>
        <v>90</v>
      </c>
      <c r="E70" s="20">
        <f>'Budget - Grantville'!E72+'Budget - Tyler'!E72</f>
        <v>90</v>
      </c>
      <c r="F70" s="20">
        <f>'Budget - Grantville'!F72+'Budget - Tyler'!F72</f>
        <v>90</v>
      </c>
      <c r="G70" s="20">
        <f>'Budget - Grantville'!G72+'Budget - Tyler'!G72</f>
        <v>90</v>
      </c>
      <c r="H70" s="20">
        <f>'Budget - Grantville'!H72+'Budget - Tyler'!H72</f>
        <v>90</v>
      </c>
      <c r="I70" s="20">
        <f>'Budget - Grantville'!I72+'Budget - Tyler'!I72</f>
        <v>90</v>
      </c>
      <c r="J70" s="20">
        <f>'Budget - Grantville'!J72+'Budget - Tyler'!J72</f>
        <v>90</v>
      </c>
      <c r="K70" s="20">
        <f>'Budget - Grantville'!K72+'Budget - Tyler'!K72</f>
        <v>90</v>
      </c>
      <c r="L70" s="20">
        <f>'Budget - Grantville'!L72+'Budget - Tyler'!L72</f>
        <v>90</v>
      </c>
      <c r="M70" s="20">
        <f>'Budget - Grantville'!M72+'Budget - Tyler'!M72</f>
        <v>90</v>
      </c>
      <c r="N70" s="20">
        <f t="shared" ref="N70:N75" si="21">(((((((((((B70)+(C70))+(D70))+(E70))+(F70))+(G70))+(H70))+(I70))+(J70))+(K70))+(L70))+(M70)</f>
        <v>1080</v>
      </c>
      <c r="O70" s="31">
        <v>540.0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4.25" customHeight="1">
      <c r="A71" s="40" t="s">
        <v>66</v>
      </c>
      <c r="B71" s="20">
        <f>'Budget - Grantville'!B73+'Budget - Tyler'!B73</f>
        <v>0</v>
      </c>
      <c r="C71" s="20">
        <f>'Budget - Grantville'!C73+'Budget - Tyler'!C73</f>
        <v>0</v>
      </c>
      <c r="D71" s="20">
        <f>'Budget - Grantville'!D73+'Budget - Tyler'!D73</f>
        <v>0</v>
      </c>
      <c r="E71" s="20">
        <f>'Budget - Grantville'!E73+'Budget - Tyler'!E73</f>
        <v>0</v>
      </c>
      <c r="F71" s="20">
        <f>'Budget - Grantville'!F73+'Budget - Tyler'!F73</f>
        <v>0</v>
      </c>
      <c r="G71" s="20">
        <f>'Budget - Grantville'!G73+'Budget - Tyler'!G73</f>
        <v>0</v>
      </c>
      <c r="H71" s="20">
        <f>'Budget - Grantville'!H73+'Budget - Tyler'!H73</f>
        <v>0</v>
      </c>
      <c r="I71" s="20">
        <f>'Budget - Grantville'!I73+'Budget - Tyler'!I73</f>
        <v>0</v>
      </c>
      <c r="J71" s="20">
        <f>'Budget - Grantville'!J73+'Budget - Tyler'!J73</f>
        <v>0</v>
      </c>
      <c r="K71" s="20">
        <f>'Budget - Grantville'!K73+'Budget - Tyler'!K73</f>
        <v>0</v>
      </c>
      <c r="L71" s="20">
        <f>'Budget - Grantville'!L73+'Budget - Tyler'!L73</f>
        <v>0</v>
      </c>
      <c r="M71" s="20">
        <f>'Budget - Grantville'!M73+'Budget - Tyler'!M73</f>
        <v>0</v>
      </c>
      <c r="N71" s="20">
        <f t="shared" si="21"/>
        <v>0</v>
      </c>
      <c r="O71" s="31">
        <v>1000.0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4.25" customHeight="1">
      <c r="A72" s="39" t="s">
        <v>67</v>
      </c>
      <c r="B72" s="20">
        <f>'Budget - Grantville'!B74+'Budget - Tyler'!B74</f>
        <v>160</v>
      </c>
      <c r="C72" s="20">
        <f>'Budget - Grantville'!C74+'Budget - Tyler'!C74</f>
        <v>160</v>
      </c>
      <c r="D72" s="20">
        <f>'Budget - Grantville'!D74+'Budget - Tyler'!D74</f>
        <v>160</v>
      </c>
      <c r="E72" s="20">
        <f>'Budget - Grantville'!E74+'Budget - Tyler'!E74</f>
        <v>160</v>
      </c>
      <c r="F72" s="20">
        <f>'Budget - Grantville'!F74+'Budget - Tyler'!F74</f>
        <v>160</v>
      </c>
      <c r="G72" s="20">
        <f>'Budget - Grantville'!G74+'Budget - Tyler'!G74</f>
        <v>160</v>
      </c>
      <c r="H72" s="20">
        <f>'Budget - Grantville'!H74+'Budget - Tyler'!H74</f>
        <v>160</v>
      </c>
      <c r="I72" s="20">
        <f>'Budget - Grantville'!I74+'Budget - Tyler'!I74</f>
        <v>160</v>
      </c>
      <c r="J72" s="20">
        <f>'Budget - Grantville'!J74+'Budget - Tyler'!J74</f>
        <v>160</v>
      </c>
      <c r="K72" s="20">
        <f>'Budget - Grantville'!K74+'Budget - Tyler'!K74</f>
        <v>160</v>
      </c>
      <c r="L72" s="20">
        <f>'Budget - Grantville'!L74+'Budget - Tyler'!L74</f>
        <v>160</v>
      </c>
      <c r="M72" s="20">
        <f>'Budget - Grantville'!M74+'Budget - Tyler'!M74</f>
        <v>160</v>
      </c>
      <c r="N72" s="20">
        <f t="shared" si="21"/>
        <v>1920</v>
      </c>
      <c r="O72" s="20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4.25" customHeight="1">
      <c r="A73" s="39" t="s">
        <v>68</v>
      </c>
      <c r="B73" s="20">
        <f>'Budget - Grantville'!B75+'Budget - Tyler'!B75</f>
        <v>126</v>
      </c>
      <c r="C73" s="20">
        <f>'Budget - Grantville'!C75+'Budget - Tyler'!C75</f>
        <v>126</v>
      </c>
      <c r="D73" s="20">
        <f>'Budget - Grantville'!D75+'Budget - Tyler'!D75</f>
        <v>126</v>
      </c>
      <c r="E73" s="20">
        <f>'Budget - Grantville'!E75+'Budget - Tyler'!E75</f>
        <v>126</v>
      </c>
      <c r="F73" s="20">
        <f>'Budget - Grantville'!F75+'Budget - Tyler'!F75</f>
        <v>126</v>
      </c>
      <c r="G73" s="20">
        <f>'Budget - Grantville'!G75+'Budget - Tyler'!G75</f>
        <v>126</v>
      </c>
      <c r="H73" s="20">
        <f>'Budget - Grantville'!H75+'Budget - Tyler'!H75</f>
        <v>126</v>
      </c>
      <c r="I73" s="20">
        <f>'Budget - Grantville'!I75+'Budget - Tyler'!I75</f>
        <v>126</v>
      </c>
      <c r="J73" s="20">
        <f>'Budget - Grantville'!J75+'Budget - Tyler'!J75</f>
        <v>126</v>
      </c>
      <c r="K73" s="20">
        <f>'Budget - Grantville'!K75+'Budget - Tyler'!K75</f>
        <v>126</v>
      </c>
      <c r="L73" s="20">
        <f>'Budget - Grantville'!L75+'Budget - Tyler'!L75</f>
        <v>126</v>
      </c>
      <c r="M73" s="20">
        <f>'Budget - Grantville'!M75+'Budget - Tyler'!M75</f>
        <v>126</v>
      </c>
      <c r="N73" s="20">
        <f t="shared" si="21"/>
        <v>1512</v>
      </c>
      <c r="O73" s="31">
        <v>2049.39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4.25" customHeight="1">
      <c r="A74" s="39" t="s">
        <v>69</v>
      </c>
      <c r="B74" s="20">
        <f>'Budget - Grantville'!B76+'Budget - Tyler'!B76</f>
        <v>240</v>
      </c>
      <c r="C74" s="20">
        <f>'Budget - Grantville'!C76+'Budget - Tyler'!C76</f>
        <v>240</v>
      </c>
      <c r="D74" s="20">
        <f>'Budget - Grantville'!D76+'Budget - Tyler'!D76</f>
        <v>240</v>
      </c>
      <c r="E74" s="20">
        <f>'Budget - Grantville'!E76+'Budget - Tyler'!E76</f>
        <v>240</v>
      </c>
      <c r="F74" s="20">
        <f>'Budget - Grantville'!F76+'Budget - Tyler'!F76</f>
        <v>240</v>
      </c>
      <c r="G74" s="20">
        <f>'Budget - Grantville'!G76+'Budget - Tyler'!G76</f>
        <v>240</v>
      </c>
      <c r="H74" s="20">
        <f>'Budget - Grantville'!H76+'Budget - Tyler'!H76</f>
        <v>240</v>
      </c>
      <c r="I74" s="20">
        <f>'Budget - Grantville'!I76+'Budget - Tyler'!I76</f>
        <v>240</v>
      </c>
      <c r="J74" s="20">
        <f>'Budget - Grantville'!J76+'Budget - Tyler'!J76</f>
        <v>240</v>
      </c>
      <c r="K74" s="20">
        <f>'Budget - Grantville'!K76+'Budget - Tyler'!K76</f>
        <v>240</v>
      </c>
      <c r="L74" s="20">
        <f>'Budget - Grantville'!L76+'Budget - Tyler'!L76</f>
        <v>240</v>
      </c>
      <c r="M74" s="20">
        <f>'Budget - Grantville'!M76+'Budget - Tyler'!M76</f>
        <v>240</v>
      </c>
      <c r="N74" s="20">
        <f t="shared" si="21"/>
        <v>2880</v>
      </c>
      <c r="O74" s="31">
        <v>4098.63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4.25" customHeight="1">
      <c r="A75" s="33" t="s">
        <v>70</v>
      </c>
      <c r="B75" s="26">
        <f t="shared" ref="B75:M75" si="22">SUM(B70:B74)</f>
        <v>616</v>
      </c>
      <c r="C75" s="26">
        <f t="shared" si="22"/>
        <v>616</v>
      </c>
      <c r="D75" s="26">
        <f t="shared" si="22"/>
        <v>616</v>
      </c>
      <c r="E75" s="26">
        <f t="shared" si="22"/>
        <v>616</v>
      </c>
      <c r="F75" s="26">
        <f t="shared" si="22"/>
        <v>616</v>
      </c>
      <c r="G75" s="26">
        <f t="shared" si="22"/>
        <v>616</v>
      </c>
      <c r="H75" s="26">
        <f t="shared" si="22"/>
        <v>616</v>
      </c>
      <c r="I75" s="26">
        <f t="shared" si="22"/>
        <v>616</v>
      </c>
      <c r="J75" s="26">
        <f t="shared" si="22"/>
        <v>616</v>
      </c>
      <c r="K75" s="26">
        <f t="shared" si="22"/>
        <v>616</v>
      </c>
      <c r="L75" s="26">
        <f t="shared" si="22"/>
        <v>616</v>
      </c>
      <c r="M75" s="26">
        <f t="shared" si="22"/>
        <v>616</v>
      </c>
      <c r="N75" s="26">
        <f t="shared" si="21"/>
        <v>7392</v>
      </c>
      <c r="O75" s="26">
        <f>SUM(O70:O74)</f>
        <v>7688.02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4.25" customHeight="1">
      <c r="A76" s="27" t="s">
        <v>71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4.25" customHeight="1">
      <c r="A77" s="39" t="s">
        <v>72</v>
      </c>
      <c r="B77" s="20">
        <f>'Budget - Grantville'!B79+'Budget - Tyler'!B79</f>
        <v>0</v>
      </c>
      <c r="C77" s="20">
        <f>'Budget - Grantville'!C79+'Budget - Tyler'!C79</f>
        <v>0</v>
      </c>
      <c r="D77" s="20">
        <f>'Budget - Grantville'!D79+'Budget - Tyler'!D79</f>
        <v>0</v>
      </c>
      <c r="E77" s="20">
        <f>'Budget - Grantville'!E79+'Budget - Tyler'!E79</f>
        <v>0</v>
      </c>
      <c r="F77" s="20">
        <f>'Budget - Grantville'!F79+'Budget - Tyler'!F79</f>
        <v>0</v>
      </c>
      <c r="G77" s="20">
        <f>'Budget - Grantville'!G79+'Budget - Tyler'!G79</f>
        <v>0</v>
      </c>
      <c r="H77" s="20">
        <f>'Budget - Grantville'!H79+'Budget - Tyler'!H79</f>
        <v>0</v>
      </c>
      <c r="I77" s="20">
        <f>'Budget - Grantville'!I79+'Budget - Tyler'!I79</f>
        <v>0</v>
      </c>
      <c r="J77" s="20">
        <f>'Budget - Grantville'!J79+'Budget - Tyler'!J79</f>
        <v>0</v>
      </c>
      <c r="K77" s="20">
        <f>'Budget - Grantville'!K79+'Budget - Tyler'!K79</f>
        <v>0</v>
      </c>
      <c r="L77" s="20">
        <f>'Budget - Grantville'!L79+'Budget - Tyler'!L79</f>
        <v>0</v>
      </c>
      <c r="M77" s="20">
        <f>'Budget - Grantville'!M79+'Budget - Tyler'!M79</f>
        <v>0</v>
      </c>
      <c r="N77" s="20">
        <f t="shared" ref="N77:N84" si="23">(((((((((((B77)+(C77))+(D77))+(E77))+(F77))+(G77))+(H77))+(I77))+(J77))+(K77))+(L77))+(M77)</f>
        <v>0</v>
      </c>
      <c r="O77" s="20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4.25" customHeight="1">
      <c r="A78" s="39" t="s">
        <v>73</v>
      </c>
      <c r="B78" s="20">
        <f>'Budget - Grantville'!B80+'Budget - Tyler'!B80</f>
        <v>0</v>
      </c>
      <c r="C78" s="20">
        <f>'Budget - Grantville'!C80+'Budget - Tyler'!C80</f>
        <v>0</v>
      </c>
      <c r="D78" s="20">
        <f>'Budget - Grantville'!D80+'Budget - Tyler'!D80</f>
        <v>0</v>
      </c>
      <c r="E78" s="20">
        <f>'Budget - Grantville'!E80+'Budget - Tyler'!E80</f>
        <v>0</v>
      </c>
      <c r="F78" s="20">
        <f>'Budget - Grantville'!F80+'Budget - Tyler'!F80</f>
        <v>0</v>
      </c>
      <c r="G78" s="20">
        <f>'Budget - Grantville'!G80+'Budget - Tyler'!G80</f>
        <v>0</v>
      </c>
      <c r="H78" s="20">
        <f>'Budget - Grantville'!H80+'Budget - Tyler'!H80</f>
        <v>0</v>
      </c>
      <c r="I78" s="20">
        <f>'Budget - Grantville'!I80+'Budget - Tyler'!I80</f>
        <v>0</v>
      </c>
      <c r="J78" s="20">
        <f>'Budget - Grantville'!J80+'Budget - Tyler'!J80</f>
        <v>0</v>
      </c>
      <c r="K78" s="20">
        <f>'Budget - Grantville'!K80+'Budget - Tyler'!K80</f>
        <v>0</v>
      </c>
      <c r="L78" s="20">
        <f>'Budget - Grantville'!L80+'Budget - Tyler'!L80</f>
        <v>0</v>
      </c>
      <c r="M78" s="20">
        <f>'Budget - Grantville'!M80+'Budget - Tyler'!M80</f>
        <v>0</v>
      </c>
      <c r="N78" s="20">
        <f t="shared" si="23"/>
        <v>0</v>
      </c>
      <c r="O78" s="20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4.25" customHeight="1">
      <c r="A79" s="39" t="s">
        <v>74</v>
      </c>
      <c r="B79" s="20">
        <f>'Budget - Grantville'!B81+'Budget - Tyler'!B81</f>
        <v>0</v>
      </c>
      <c r="C79" s="20">
        <f>'Budget - Grantville'!C81+'Budget - Tyler'!C81</f>
        <v>0</v>
      </c>
      <c r="D79" s="20">
        <f>'Budget - Grantville'!D81+'Budget - Tyler'!D81</f>
        <v>0</v>
      </c>
      <c r="E79" s="20">
        <f>'Budget - Grantville'!E81+'Budget - Tyler'!E81</f>
        <v>0</v>
      </c>
      <c r="F79" s="20">
        <f>'Budget - Grantville'!F81+'Budget - Tyler'!F81</f>
        <v>0</v>
      </c>
      <c r="G79" s="20">
        <f>'Budget - Grantville'!G81+'Budget - Tyler'!G81</f>
        <v>0</v>
      </c>
      <c r="H79" s="20">
        <f>'Budget - Grantville'!H81+'Budget - Tyler'!H81</f>
        <v>0</v>
      </c>
      <c r="I79" s="20">
        <f>'Budget - Grantville'!I81+'Budget - Tyler'!I81</f>
        <v>0</v>
      </c>
      <c r="J79" s="20">
        <f>'Budget - Grantville'!J81+'Budget - Tyler'!J81</f>
        <v>0</v>
      </c>
      <c r="K79" s="20">
        <f>'Budget - Grantville'!K81+'Budget - Tyler'!K81</f>
        <v>0</v>
      </c>
      <c r="L79" s="20">
        <f>'Budget - Grantville'!L81+'Budget - Tyler'!L81</f>
        <v>0</v>
      </c>
      <c r="M79" s="20">
        <f>'Budget - Grantville'!M81+'Budget - Tyler'!M81</f>
        <v>0</v>
      </c>
      <c r="N79" s="20">
        <f t="shared" si="23"/>
        <v>0</v>
      </c>
      <c r="O79" s="20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4.25" customHeight="1">
      <c r="A80" s="39" t="s">
        <v>75</v>
      </c>
      <c r="B80" s="20">
        <f>'Budget - Grantville'!B82+'Budget - Tyler'!B82</f>
        <v>0</v>
      </c>
      <c r="C80" s="20">
        <f>'Budget - Grantville'!C82+'Budget - Tyler'!C82</f>
        <v>0</v>
      </c>
      <c r="D80" s="20">
        <f>'Budget - Grantville'!D82+'Budget - Tyler'!D82</f>
        <v>0</v>
      </c>
      <c r="E80" s="20">
        <f>'Budget - Grantville'!E82+'Budget - Tyler'!E82</f>
        <v>0</v>
      </c>
      <c r="F80" s="20">
        <f>'Budget - Grantville'!F82+'Budget - Tyler'!F82</f>
        <v>0</v>
      </c>
      <c r="G80" s="20">
        <f>'Budget - Grantville'!G82+'Budget - Tyler'!G82</f>
        <v>0</v>
      </c>
      <c r="H80" s="20">
        <f>'Budget - Grantville'!H82+'Budget - Tyler'!H82</f>
        <v>0</v>
      </c>
      <c r="I80" s="20">
        <f>'Budget - Grantville'!I82+'Budget - Tyler'!I82</f>
        <v>0</v>
      </c>
      <c r="J80" s="20">
        <f>'Budget - Grantville'!J82+'Budget - Tyler'!J82</f>
        <v>0</v>
      </c>
      <c r="K80" s="20">
        <f>'Budget - Grantville'!K82+'Budget - Tyler'!K82</f>
        <v>0</v>
      </c>
      <c r="L80" s="20">
        <f>'Budget - Grantville'!L82+'Budget - Tyler'!L82</f>
        <v>0</v>
      </c>
      <c r="M80" s="20">
        <f>'Budget - Grantville'!M82+'Budget - Tyler'!M82</f>
        <v>0</v>
      </c>
      <c r="N80" s="20">
        <f t="shared" si="23"/>
        <v>0</v>
      </c>
      <c r="O80" s="20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4.25" customHeight="1">
      <c r="A81" s="39" t="s">
        <v>76</v>
      </c>
      <c r="B81" s="20">
        <f>'Budget - Grantville'!B83+'Budget - Tyler'!B83</f>
        <v>0</v>
      </c>
      <c r="C81" s="20">
        <f>'Budget - Grantville'!C83+'Budget - Tyler'!C83</f>
        <v>0</v>
      </c>
      <c r="D81" s="20">
        <f>'Budget - Grantville'!D83+'Budget - Tyler'!D83</f>
        <v>0</v>
      </c>
      <c r="E81" s="20">
        <f>'Budget - Grantville'!E83+'Budget - Tyler'!E83</f>
        <v>0</v>
      </c>
      <c r="F81" s="20">
        <f>'Budget - Grantville'!F83+'Budget - Tyler'!F83</f>
        <v>0</v>
      </c>
      <c r="G81" s="20">
        <f>'Budget - Grantville'!G83+'Budget - Tyler'!G83</f>
        <v>0</v>
      </c>
      <c r="H81" s="20">
        <f>'Budget - Grantville'!H83+'Budget - Tyler'!H83</f>
        <v>0</v>
      </c>
      <c r="I81" s="20">
        <f>'Budget - Grantville'!I83+'Budget - Tyler'!I83</f>
        <v>0</v>
      </c>
      <c r="J81" s="20">
        <f>'Budget - Grantville'!J83+'Budget - Tyler'!J83</f>
        <v>0</v>
      </c>
      <c r="K81" s="20">
        <f>'Budget - Grantville'!K83+'Budget - Tyler'!K83</f>
        <v>0</v>
      </c>
      <c r="L81" s="20">
        <f>'Budget - Grantville'!L83+'Budget - Tyler'!L83</f>
        <v>0</v>
      </c>
      <c r="M81" s="20">
        <f>'Budget - Grantville'!M83+'Budget - Tyler'!M83</f>
        <v>0</v>
      </c>
      <c r="N81" s="20">
        <f t="shared" si="23"/>
        <v>0</v>
      </c>
      <c r="O81" s="20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4.25" customHeight="1">
      <c r="A82" s="39" t="s">
        <v>77</v>
      </c>
      <c r="B82" s="20">
        <f>'Budget - Grantville'!B84+'Budget - Tyler'!B84</f>
        <v>1200</v>
      </c>
      <c r="C82" s="20">
        <f>'Budget - Grantville'!C84+'Budget - Tyler'!C84</f>
        <v>1200</v>
      </c>
      <c r="D82" s="20">
        <f>'Budget - Grantville'!D84+'Budget - Tyler'!D84</f>
        <v>1200</v>
      </c>
      <c r="E82" s="20">
        <f>'Budget - Grantville'!E84+'Budget - Tyler'!E84</f>
        <v>1200</v>
      </c>
      <c r="F82" s="20">
        <f>'Budget - Grantville'!F84+'Budget - Tyler'!F84</f>
        <v>1200</v>
      </c>
      <c r="G82" s="20">
        <f>'Budget - Grantville'!G84+'Budget - Tyler'!G84</f>
        <v>1200</v>
      </c>
      <c r="H82" s="20">
        <f>'Budget - Grantville'!H84+'Budget - Tyler'!H84</f>
        <v>1200</v>
      </c>
      <c r="I82" s="20">
        <f>'Budget - Grantville'!I84+'Budget - Tyler'!I84</f>
        <v>1200</v>
      </c>
      <c r="J82" s="20">
        <f>'Budget - Grantville'!J84+'Budget - Tyler'!J84</f>
        <v>1200</v>
      </c>
      <c r="K82" s="20">
        <f>'Budget - Grantville'!K84+'Budget - Tyler'!K84</f>
        <v>1200</v>
      </c>
      <c r="L82" s="20">
        <f>'Budget - Grantville'!L84+'Budget - Tyler'!L84</f>
        <v>1200</v>
      </c>
      <c r="M82" s="20">
        <f>'Budget - Grantville'!M84+'Budget - Tyler'!M84</f>
        <v>1200</v>
      </c>
      <c r="N82" s="20">
        <f t="shared" si="23"/>
        <v>14400</v>
      </c>
      <c r="O82" s="31">
        <v>14035.85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4.25" customHeight="1">
      <c r="A83" s="39" t="s">
        <v>78</v>
      </c>
      <c r="B83" s="20">
        <f>'Budget - Grantville'!B85+'Budget - Tyler'!B85</f>
        <v>0</v>
      </c>
      <c r="C83" s="20">
        <f>'Budget - Grantville'!C85+'Budget - Tyler'!C85</f>
        <v>0</v>
      </c>
      <c r="D83" s="20">
        <f>'Budget - Grantville'!D85+'Budget - Tyler'!D85</f>
        <v>0</v>
      </c>
      <c r="E83" s="20">
        <f>'Budget - Grantville'!E85+'Budget - Tyler'!E85</f>
        <v>0</v>
      </c>
      <c r="F83" s="20">
        <f>'Budget - Grantville'!F85+'Budget - Tyler'!F85</f>
        <v>0</v>
      </c>
      <c r="G83" s="20">
        <f>'Budget - Grantville'!G85+'Budget - Tyler'!G85</f>
        <v>0</v>
      </c>
      <c r="H83" s="20">
        <f>'Budget - Grantville'!H85+'Budget - Tyler'!H85</f>
        <v>0</v>
      </c>
      <c r="I83" s="20">
        <f>'Budget - Grantville'!I85+'Budget - Tyler'!I85</f>
        <v>0</v>
      </c>
      <c r="J83" s="20">
        <f>'Budget - Grantville'!J85+'Budget - Tyler'!J85</f>
        <v>0</v>
      </c>
      <c r="K83" s="20">
        <f>'Budget - Grantville'!K85+'Budget - Tyler'!K85</f>
        <v>0</v>
      </c>
      <c r="L83" s="20">
        <f>'Budget - Grantville'!L85+'Budget - Tyler'!L85</f>
        <v>0</v>
      </c>
      <c r="M83" s="20">
        <f>'Budget - Grantville'!M85+'Budget - Tyler'!M85</f>
        <v>0</v>
      </c>
      <c r="N83" s="20">
        <f t="shared" si="23"/>
        <v>0</v>
      </c>
      <c r="O83" s="20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4.25" customHeight="1">
      <c r="A84" s="33" t="s">
        <v>79</v>
      </c>
      <c r="B84" s="26">
        <f t="shared" ref="B84:M84" si="24">SUM(B77:B83)</f>
        <v>1200</v>
      </c>
      <c r="C84" s="26">
        <f t="shared" si="24"/>
        <v>1200</v>
      </c>
      <c r="D84" s="26">
        <f t="shared" si="24"/>
        <v>1200</v>
      </c>
      <c r="E84" s="26">
        <f t="shared" si="24"/>
        <v>1200</v>
      </c>
      <c r="F84" s="26">
        <f t="shared" si="24"/>
        <v>1200</v>
      </c>
      <c r="G84" s="26">
        <f t="shared" si="24"/>
        <v>1200</v>
      </c>
      <c r="H84" s="26">
        <f t="shared" si="24"/>
        <v>1200</v>
      </c>
      <c r="I84" s="26">
        <f t="shared" si="24"/>
        <v>1200</v>
      </c>
      <c r="J84" s="26">
        <f t="shared" si="24"/>
        <v>1200</v>
      </c>
      <c r="K84" s="26">
        <f t="shared" si="24"/>
        <v>1200</v>
      </c>
      <c r="L84" s="26">
        <f t="shared" si="24"/>
        <v>1200</v>
      </c>
      <c r="M84" s="26">
        <f t="shared" si="24"/>
        <v>1200</v>
      </c>
      <c r="N84" s="26">
        <f t="shared" si="23"/>
        <v>14400</v>
      </c>
      <c r="O84" s="26">
        <f>SUM(O77:O83)</f>
        <v>14035.85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4.25" customHeight="1">
      <c r="A85" s="33" t="s">
        <v>80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4.25" customHeight="1">
      <c r="A86" s="39" t="s">
        <v>81</v>
      </c>
      <c r="B86" s="20">
        <f>'Budget - Grantville'!B88+'Budget - Tyler'!B88</f>
        <v>2754.4</v>
      </c>
      <c r="C86" s="20">
        <f>'Budget - Grantville'!C88+'Budget - Tyler'!C88</f>
        <v>2754.4</v>
      </c>
      <c r="D86" s="20">
        <f>'Budget - Grantville'!D88+'Budget - Tyler'!D88</f>
        <v>2754.4</v>
      </c>
      <c r="E86" s="20">
        <f>'Budget - Grantville'!E88+'Budget - Tyler'!E88</f>
        <v>2754.4</v>
      </c>
      <c r="F86" s="20">
        <f>'Budget - Grantville'!F88+'Budget - Tyler'!F88</f>
        <v>2754.4</v>
      </c>
      <c r="G86" s="20">
        <f>'Budget - Grantville'!G88+'Budget - Tyler'!G88</f>
        <v>2754.4</v>
      </c>
      <c r="H86" s="20">
        <f>'Budget - Grantville'!H88+'Budget - Tyler'!H88</f>
        <v>2754.4</v>
      </c>
      <c r="I86" s="20">
        <f>'Budget - Grantville'!I88+'Budget - Tyler'!I88</f>
        <v>2754.4</v>
      </c>
      <c r="J86" s="20">
        <f>'Budget - Grantville'!J88+'Budget - Tyler'!J88</f>
        <v>2754.4</v>
      </c>
      <c r="K86" s="20">
        <f>'Budget - Grantville'!K88+'Budget - Tyler'!K88</f>
        <v>2754.4</v>
      </c>
      <c r="L86" s="20">
        <f>'Budget - Grantville'!L88+'Budget - Tyler'!L88</f>
        <v>2754.4</v>
      </c>
      <c r="M86" s="20">
        <f>'Budget - Grantville'!M88+'Budget - Tyler'!M88</f>
        <v>2754.4</v>
      </c>
      <c r="N86" s="20">
        <f t="shared" ref="N86:N88" si="25">(((((((((((B86)+(C86))+(D86))+(E86))+(F86))+(G86))+(H86))+(I86))+(J86))+(K86))+(L86))+(M86)</f>
        <v>33052.8</v>
      </c>
      <c r="O86" s="31">
        <v>16523.93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4.25" customHeight="1">
      <c r="A87" s="39" t="s">
        <v>82</v>
      </c>
      <c r="B87" s="20">
        <f>'Budget - Grantville'!B89+'Budget - Tyler'!B89</f>
        <v>3728.73</v>
      </c>
      <c r="C87" s="20">
        <f>'Budget - Grantville'!C89+'Budget - Tyler'!C89</f>
        <v>3728.73</v>
      </c>
      <c r="D87" s="20">
        <f>'Budget - Grantville'!D89+'Budget - Tyler'!D89</f>
        <v>3728.73</v>
      </c>
      <c r="E87" s="20">
        <f>'Budget - Grantville'!E89+'Budget - Tyler'!E89</f>
        <v>3728.73</v>
      </c>
      <c r="F87" s="20">
        <f>'Budget - Grantville'!F89+'Budget - Tyler'!F89</f>
        <v>3728.73</v>
      </c>
      <c r="G87" s="20">
        <f>'Budget - Grantville'!G89+'Budget - Tyler'!G89</f>
        <v>3728.73</v>
      </c>
      <c r="H87" s="20">
        <f>'Budget - Grantville'!H89+'Budget - Tyler'!H89</f>
        <v>3728.73</v>
      </c>
      <c r="I87" s="20">
        <f>'Budget - Grantville'!I89+'Budget - Tyler'!I89</f>
        <v>3728.73</v>
      </c>
      <c r="J87" s="20">
        <f>'Budget - Grantville'!J89+'Budget - Tyler'!J89</f>
        <v>3728.73</v>
      </c>
      <c r="K87" s="20">
        <f>'Budget - Grantville'!K89+'Budget - Tyler'!K89</f>
        <v>3728.73</v>
      </c>
      <c r="L87" s="20">
        <f>'Budget - Grantville'!L89+'Budget - Tyler'!L89</f>
        <v>3728.73</v>
      </c>
      <c r="M87" s="20">
        <f>'Budget - Grantville'!M89+'Budget - Tyler'!M89</f>
        <v>3728.73</v>
      </c>
      <c r="N87" s="20">
        <f t="shared" si="25"/>
        <v>44744.76</v>
      </c>
      <c r="O87" s="31">
        <v>41289.54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4.25" customHeight="1">
      <c r="A88" s="33" t="s">
        <v>83</v>
      </c>
      <c r="B88" s="26">
        <f t="shared" ref="B88:M88" si="26">SUM(B86:B87)</f>
        <v>6483.13</v>
      </c>
      <c r="C88" s="26">
        <f t="shared" si="26"/>
        <v>6483.13</v>
      </c>
      <c r="D88" s="26">
        <f t="shared" si="26"/>
        <v>6483.13</v>
      </c>
      <c r="E88" s="26">
        <f t="shared" si="26"/>
        <v>6483.13</v>
      </c>
      <c r="F88" s="26">
        <f t="shared" si="26"/>
        <v>6483.13</v>
      </c>
      <c r="G88" s="26">
        <f t="shared" si="26"/>
        <v>6483.13</v>
      </c>
      <c r="H88" s="26">
        <f t="shared" si="26"/>
        <v>6483.13</v>
      </c>
      <c r="I88" s="26">
        <f t="shared" si="26"/>
        <v>6483.13</v>
      </c>
      <c r="J88" s="26">
        <f t="shared" si="26"/>
        <v>6483.13</v>
      </c>
      <c r="K88" s="26">
        <f t="shared" si="26"/>
        <v>6483.13</v>
      </c>
      <c r="L88" s="26">
        <f t="shared" si="26"/>
        <v>6483.13</v>
      </c>
      <c r="M88" s="26">
        <f t="shared" si="26"/>
        <v>6483.13</v>
      </c>
      <c r="N88" s="26">
        <f t="shared" si="25"/>
        <v>77797.56</v>
      </c>
      <c r="O88" s="26">
        <f>SUM(O86:O87)</f>
        <v>57813.47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4.25" customHeight="1">
      <c r="A89" s="33" t="s">
        <v>84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4.25" customHeight="1">
      <c r="A90" s="39" t="s">
        <v>85</v>
      </c>
      <c r="B90" s="20">
        <f>'Budget - Grantville'!B92+'Budget - Tyler'!B92</f>
        <v>80</v>
      </c>
      <c r="C90" s="20">
        <f>'Budget - Grantville'!C92+'Budget - Tyler'!C92</f>
        <v>80</v>
      </c>
      <c r="D90" s="20">
        <f>'Budget - Grantville'!D92+'Budget - Tyler'!D92</f>
        <v>80</v>
      </c>
      <c r="E90" s="20">
        <f>'Budget - Grantville'!E92+'Budget - Tyler'!E92</f>
        <v>80</v>
      </c>
      <c r="F90" s="20">
        <f>'Budget - Grantville'!F92+'Budget - Tyler'!F92</f>
        <v>80</v>
      </c>
      <c r="G90" s="20">
        <f>'Budget - Grantville'!G92+'Budget - Tyler'!G92</f>
        <v>80</v>
      </c>
      <c r="H90" s="20">
        <f>'Budget - Grantville'!H92+'Budget - Tyler'!H92</f>
        <v>80</v>
      </c>
      <c r="I90" s="20">
        <f>'Budget - Grantville'!I92+'Budget - Tyler'!I92</f>
        <v>80</v>
      </c>
      <c r="J90" s="20">
        <f>'Budget - Grantville'!J92+'Budget - Tyler'!J92</f>
        <v>80</v>
      </c>
      <c r="K90" s="20">
        <f>'Budget - Grantville'!K92+'Budget - Tyler'!K92</f>
        <v>80</v>
      </c>
      <c r="L90" s="20">
        <f>'Budget - Grantville'!L92+'Budget - Tyler'!L92</f>
        <v>80</v>
      </c>
      <c r="M90" s="20">
        <f>'Budget - Grantville'!M92+'Budget - Tyler'!M92</f>
        <v>80</v>
      </c>
      <c r="N90" s="20">
        <f t="shared" ref="N90:N99" si="27">(((((((((((B90)+(C90))+(D90))+(E90))+(F90))+(G90))+(H90))+(I90))+(J90))+(K90))+(L90))+(M90)</f>
        <v>960</v>
      </c>
      <c r="O90" s="31">
        <v>1136.14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4.25" customHeight="1">
      <c r="A91" s="39" t="s">
        <v>86</v>
      </c>
      <c r="B91" s="20">
        <f>'Budget - Grantville'!B93+'Budget - Tyler'!B93</f>
        <v>200</v>
      </c>
      <c r="C91" s="20">
        <f>'Budget - Grantville'!C93+'Budget - Tyler'!C93</f>
        <v>200</v>
      </c>
      <c r="D91" s="20">
        <f>'Budget - Grantville'!D93+'Budget - Tyler'!D93</f>
        <v>200</v>
      </c>
      <c r="E91" s="20">
        <f>'Budget - Grantville'!E93+'Budget - Tyler'!E93</f>
        <v>200</v>
      </c>
      <c r="F91" s="20">
        <f>'Budget - Grantville'!F93+'Budget - Tyler'!F93</f>
        <v>200</v>
      </c>
      <c r="G91" s="20">
        <f>'Budget - Grantville'!G93+'Budget - Tyler'!G93</f>
        <v>200</v>
      </c>
      <c r="H91" s="20">
        <f>'Budget - Grantville'!H93+'Budget - Tyler'!H93</f>
        <v>200</v>
      </c>
      <c r="I91" s="20">
        <f>'Budget - Grantville'!I93+'Budget - Tyler'!I93</f>
        <v>200</v>
      </c>
      <c r="J91" s="20">
        <f>'Budget - Grantville'!J93+'Budget - Tyler'!J93</f>
        <v>200</v>
      </c>
      <c r="K91" s="20">
        <f>'Budget - Grantville'!K93+'Budget - Tyler'!K93</f>
        <v>200</v>
      </c>
      <c r="L91" s="20">
        <f>'Budget - Grantville'!L93+'Budget - Tyler'!L93</f>
        <v>200</v>
      </c>
      <c r="M91" s="20">
        <f>'Budget - Grantville'!M93+'Budget - Tyler'!M93</f>
        <v>200</v>
      </c>
      <c r="N91" s="20">
        <f t="shared" si="27"/>
        <v>2400</v>
      </c>
      <c r="O91" s="31">
        <v>2034.68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4.25" customHeight="1">
      <c r="A92" s="39" t="s">
        <v>87</v>
      </c>
      <c r="B92" s="20">
        <f>'Budget - Grantville'!B94+'Budget - Tyler'!B94</f>
        <v>405</v>
      </c>
      <c r="C92" s="20">
        <f>'Budget - Grantville'!C94+'Budget - Tyler'!C94</f>
        <v>405</v>
      </c>
      <c r="D92" s="20">
        <f>'Budget - Grantville'!D94+'Budget - Tyler'!D94</f>
        <v>405</v>
      </c>
      <c r="E92" s="20">
        <f>'Budget - Grantville'!E94+'Budget - Tyler'!E94</f>
        <v>405</v>
      </c>
      <c r="F92" s="20">
        <f>'Budget - Grantville'!F94+'Budget - Tyler'!F94</f>
        <v>405</v>
      </c>
      <c r="G92" s="20">
        <f>'Budget - Grantville'!G94+'Budget - Tyler'!G94</f>
        <v>405</v>
      </c>
      <c r="H92" s="20">
        <f>'Budget - Grantville'!H94+'Budget - Tyler'!H94</f>
        <v>405</v>
      </c>
      <c r="I92" s="20">
        <f>'Budget - Grantville'!I94+'Budget - Tyler'!I94</f>
        <v>405</v>
      </c>
      <c r="J92" s="20">
        <f>'Budget - Grantville'!J94+'Budget - Tyler'!J94</f>
        <v>405</v>
      </c>
      <c r="K92" s="20">
        <f>'Budget - Grantville'!K94+'Budget - Tyler'!K94</f>
        <v>405</v>
      </c>
      <c r="L92" s="20">
        <f>'Budget - Grantville'!L94+'Budget - Tyler'!L94</f>
        <v>405</v>
      </c>
      <c r="M92" s="20">
        <f>'Budget - Grantville'!M94+'Budget - Tyler'!M94</f>
        <v>405</v>
      </c>
      <c r="N92" s="20">
        <f t="shared" si="27"/>
        <v>4860</v>
      </c>
      <c r="O92" s="31">
        <v>5014.11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4.25" customHeight="1">
      <c r="A93" s="39" t="s">
        <v>88</v>
      </c>
      <c r="B93" s="20">
        <f>'Budget - Grantville'!B95+'Budget - Tyler'!B95</f>
        <v>400</v>
      </c>
      <c r="C93" s="20">
        <f>'Budget - Grantville'!C95+'Budget - Tyler'!C95</f>
        <v>400</v>
      </c>
      <c r="D93" s="20">
        <f>'Budget - Grantville'!D95+'Budget - Tyler'!D95</f>
        <v>400</v>
      </c>
      <c r="E93" s="20">
        <f>'Budget - Grantville'!E95+'Budget - Tyler'!E95</f>
        <v>400</v>
      </c>
      <c r="F93" s="20">
        <f>'Budget - Grantville'!F95+'Budget - Tyler'!F95</f>
        <v>400</v>
      </c>
      <c r="G93" s="20">
        <f>'Budget - Grantville'!G95+'Budget - Tyler'!G95</f>
        <v>400</v>
      </c>
      <c r="H93" s="20">
        <f>'Budget - Grantville'!H95+'Budget - Tyler'!H95</f>
        <v>400</v>
      </c>
      <c r="I93" s="20">
        <f>'Budget - Grantville'!I95+'Budget - Tyler'!I95</f>
        <v>400</v>
      </c>
      <c r="J93" s="20">
        <f>'Budget - Grantville'!J95+'Budget - Tyler'!J95</f>
        <v>400</v>
      </c>
      <c r="K93" s="20">
        <f>'Budget - Grantville'!K95+'Budget - Tyler'!K95</f>
        <v>400</v>
      </c>
      <c r="L93" s="20">
        <f>'Budget - Grantville'!L95+'Budget - Tyler'!L95</f>
        <v>400</v>
      </c>
      <c r="M93" s="20">
        <f>'Budget - Grantville'!M95+'Budget - Tyler'!M95</f>
        <v>400</v>
      </c>
      <c r="N93" s="20">
        <f t="shared" si="27"/>
        <v>4800</v>
      </c>
      <c r="O93" s="31">
        <v>5156.13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4.25" customHeight="1">
      <c r="A94" s="39" t="s">
        <v>89</v>
      </c>
      <c r="B94" s="20">
        <f>'Budget - Grantville'!B96+'Budget - Tyler'!B96</f>
        <v>0</v>
      </c>
      <c r="C94" s="20">
        <f>'Budget - Grantville'!C96+'Budget - Tyler'!C96</f>
        <v>0</v>
      </c>
      <c r="D94" s="20">
        <f>'Budget - Grantville'!D96+'Budget - Tyler'!D96</f>
        <v>0</v>
      </c>
      <c r="E94" s="20">
        <f>'Budget - Grantville'!E96+'Budget - Tyler'!E96</f>
        <v>0</v>
      </c>
      <c r="F94" s="20">
        <f>'Budget - Grantville'!F96+'Budget - Tyler'!F96</f>
        <v>0</v>
      </c>
      <c r="G94" s="20">
        <f>'Budget - Grantville'!G96+'Budget - Tyler'!G96</f>
        <v>0</v>
      </c>
      <c r="H94" s="20">
        <f>'Budget - Grantville'!H96+'Budget - Tyler'!H96</f>
        <v>0</v>
      </c>
      <c r="I94" s="20">
        <f>'Budget - Grantville'!I96+'Budget - Tyler'!I96</f>
        <v>0</v>
      </c>
      <c r="J94" s="20">
        <f>'Budget - Grantville'!J96+'Budget - Tyler'!J96</f>
        <v>0</v>
      </c>
      <c r="K94" s="20">
        <f>'Budget - Grantville'!K96+'Budget - Tyler'!K96</f>
        <v>0</v>
      </c>
      <c r="L94" s="20">
        <f>'Budget - Grantville'!L96+'Budget - Tyler'!L96</f>
        <v>0</v>
      </c>
      <c r="M94" s="20">
        <f>'Budget - Grantville'!M96+'Budget - Tyler'!M96</f>
        <v>0</v>
      </c>
      <c r="N94" s="20">
        <f t="shared" si="27"/>
        <v>0</v>
      </c>
      <c r="O94" s="31">
        <v>65.61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4.25" customHeight="1">
      <c r="A95" s="39" t="s">
        <v>90</v>
      </c>
      <c r="B95" s="20">
        <f>'Budget - Grantville'!B97+'Budget - Tyler'!B97</f>
        <v>0</v>
      </c>
      <c r="C95" s="20">
        <f>'Budget - Grantville'!C97+'Budget - Tyler'!C97</f>
        <v>0</v>
      </c>
      <c r="D95" s="20">
        <f>'Budget - Grantville'!D97+'Budget - Tyler'!D97</f>
        <v>0</v>
      </c>
      <c r="E95" s="20">
        <f>'Budget - Grantville'!E97+'Budget - Tyler'!E97</f>
        <v>0</v>
      </c>
      <c r="F95" s="20">
        <f>'Budget - Grantville'!F97+'Budget - Tyler'!F97</f>
        <v>0</v>
      </c>
      <c r="G95" s="20">
        <f>'Budget - Grantville'!G97+'Budget - Tyler'!G97</f>
        <v>0</v>
      </c>
      <c r="H95" s="20">
        <f>'Budget - Grantville'!H97+'Budget - Tyler'!H97</f>
        <v>0</v>
      </c>
      <c r="I95" s="20">
        <f>'Budget - Grantville'!I97+'Budget - Tyler'!I97</f>
        <v>0</v>
      </c>
      <c r="J95" s="20">
        <f>'Budget - Grantville'!J97+'Budget - Tyler'!J97</f>
        <v>0</v>
      </c>
      <c r="K95" s="20">
        <f>'Budget - Grantville'!K97+'Budget - Tyler'!K97</f>
        <v>0</v>
      </c>
      <c r="L95" s="20">
        <f>'Budget - Grantville'!L97+'Budget - Tyler'!L97</f>
        <v>0</v>
      </c>
      <c r="M95" s="20">
        <f>'Budget - Grantville'!M97+'Budget - Tyler'!M97</f>
        <v>0</v>
      </c>
      <c r="N95" s="20">
        <f t="shared" si="27"/>
        <v>0</v>
      </c>
      <c r="O95" s="20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4.25" customHeight="1">
      <c r="A96" s="40" t="s">
        <v>91</v>
      </c>
      <c r="B96" s="20">
        <f>'Budget - Grantville'!B98+'Budget - Tyler'!B98</f>
        <v>0</v>
      </c>
      <c r="C96" s="20">
        <f>'Budget - Grantville'!C98+'Budget - Tyler'!C98</f>
        <v>0</v>
      </c>
      <c r="D96" s="20">
        <f>'Budget - Grantville'!D98+'Budget - Tyler'!D98</f>
        <v>0</v>
      </c>
      <c r="E96" s="20">
        <f>'Budget - Grantville'!E98+'Budget - Tyler'!E98</f>
        <v>0</v>
      </c>
      <c r="F96" s="20">
        <f>'Budget - Grantville'!F98+'Budget - Tyler'!F98</f>
        <v>0</v>
      </c>
      <c r="G96" s="20">
        <f>'Budget - Grantville'!G98+'Budget - Tyler'!G98</f>
        <v>0</v>
      </c>
      <c r="H96" s="20">
        <f>'Budget - Grantville'!H98+'Budget - Tyler'!H98</f>
        <v>0</v>
      </c>
      <c r="I96" s="20">
        <f>'Budget - Grantville'!I98+'Budget - Tyler'!I98</f>
        <v>0</v>
      </c>
      <c r="J96" s="20">
        <f>'Budget - Grantville'!J98+'Budget - Tyler'!J98</f>
        <v>0</v>
      </c>
      <c r="K96" s="20">
        <f>'Budget - Grantville'!K98+'Budget - Tyler'!K98</f>
        <v>0</v>
      </c>
      <c r="L96" s="20">
        <f>'Budget - Grantville'!L98+'Budget - Tyler'!L98</f>
        <v>0</v>
      </c>
      <c r="M96" s="20">
        <f>'Budget - Grantville'!M98+'Budget - Tyler'!M98</f>
        <v>0</v>
      </c>
      <c r="N96" s="20">
        <f t="shared" si="27"/>
        <v>0</v>
      </c>
      <c r="O96" s="31">
        <v>973.4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4.25" customHeight="1">
      <c r="A97" s="33" t="s">
        <v>92</v>
      </c>
      <c r="B97" s="26">
        <f t="shared" ref="B97:M97" si="28">SUM(B90:B96)</f>
        <v>1085</v>
      </c>
      <c r="C97" s="26">
        <f t="shared" si="28"/>
        <v>1085</v>
      </c>
      <c r="D97" s="26">
        <f t="shared" si="28"/>
        <v>1085</v>
      </c>
      <c r="E97" s="26">
        <f t="shared" si="28"/>
        <v>1085</v>
      </c>
      <c r="F97" s="26">
        <f t="shared" si="28"/>
        <v>1085</v>
      </c>
      <c r="G97" s="26">
        <f t="shared" si="28"/>
        <v>1085</v>
      </c>
      <c r="H97" s="26">
        <f t="shared" si="28"/>
        <v>1085</v>
      </c>
      <c r="I97" s="26">
        <f t="shared" si="28"/>
        <v>1085</v>
      </c>
      <c r="J97" s="26">
        <f t="shared" si="28"/>
        <v>1085</v>
      </c>
      <c r="K97" s="26">
        <f t="shared" si="28"/>
        <v>1085</v>
      </c>
      <c r="L97" s="26">
        <f t="shared" si="28"/>
        <v>1085</v>
      </c>
      <c r="M97" s="26">
        <f t="shared" si="28"/>
        <v>1085</v>
      </c>
      <c r="N97" s="26">
        <f t="shared" si="27"/>
        <v>13020</v>
      </c>
      <c r="O97" s="26">
        <f>SUM(O90:O96)</f>
        <v>14380.07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4.25" customHeight="1">
      <c r="A98" s="33" t="s">
        <v>93</v>
      </c>
      <c r="B98" s="26">
        <f t="shared" ref="B98:M98" si="29">B40+B47+B53+B64+B68+B75+B84+B88+B97</f>
        <v>14979.65067</v>
      </c>
      <c r="C98" s="26">
        <f t="shared" si="29"/>
        <v>14988.18911</v>
      </c>
      <c r="D98" s="26">
        <f t="shared" si="29"/>
        <v>15191.27526</v>
      </c>
      <c r="E98" s="26">
        <f t="shared" si="29"/>
        <v>15001.64391</v>
      </c>
      <c r="F98" s="26">
        <f t="shared" si="29"/>
        <v>15043.42603</v>
      </c>
      <c r="G98" s="26">
        <f t="shared" si="29"/>
        <v>15079.047</v>
      </c>
      <c r="H98" s="26">
        <f t="shared" si="29"/>
        <v>15923.4223</v>
      </c>
      <c r="I98" s="26">
        <f t="shared" si="29"/>
        <v>15313.18473</v>
      </c>
      <c r="J98" s="26">
        <f t="shared" si="29"/>
        <v>15139.20048</v>
      </c>
      <c r="K98" s="26">
        <f t="shared" si="29"/>
        <v>15123.25632</v>
      </c>
      <c r="L98" s="26">
        <f t="shared" si="29"/>
        <v>15308.42826</v>
      </c>
      <c r="M98" s="26">
        <f t="shared" si="29"/>
        <v>15111.36653</v>
      </c>
      <c r="N98" s="26">
        <f t="shared" si="27"/>
        <v>182202.0906</v>
      </c>
      <c r="O98" s="26">
        <f>O40+O47+O53+O64+O68+O75+O84+O88+O97</f>
        <v>165836.57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4.25" customHeight="1">
      <c r="A99" s="42" t="s">
        <v>94</v>
      </c>
      <c r="B99" s="43">
        <f t="shared" ref="B99:M99" si="30">B31-B98</f>
        <v>11520.0187</v>
      </c>
      <c r="C99" s="43">
        <f t="shared" si="30"/>
        <v>11448.13541</v>
      </c>
      <c r="D99" s="43">
        <f t="shared" si="30"/>
        <v>11130.33855</v>
      </c>
      <c r="E99" s="43">
        <f t="shared" si="30"/>
        <v>11491.01222</v>
      </c>
      <c r="F99" s="43">
        <f t="shared" si="30"/>
        <v>11952.06123</v>
      </c>
      <c r="G99" s="43">
        <f t="shared" si="30"/>
        <v>12346.87321</v>
      </c>
      <c r="H99" s="43">
        <f t="shared" si="30"/>
        <v>12319.38546</v>
      </c>
      <c r="I99" s="43">
        <f t="shared" si="30"/>
        <v>13633.52846</v>
      </c>
      <c r="J99" s="43">
        <f t="shared" si="30"/>
        <v>13474.11718</v>
      </c>
      <c r="K99" s="43">
        <f t="shared" si="30"/>
        <v>13291.60349</v>
      </c>
      <c r="L99" s="43">
        <f t="shared" si="30"/>
        <v>12921.86576</v>
      </c>
      <c r="M99" s="43">
        <f t="shared" si="30"/>
        <v>13139.56136</v>
      </c>
      <c r="N99" s="44">
        <f t="shared" si="27"/>
        <v>148668.501</v>
      </c>
      <c r="O99" s="43">
        <f>O31-O98</f>
        <v>124176.41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4.25" customHeight="1">
      <c r="A100" s="34"/>
      <c r="B100" s="34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4.25" customHeight="1">
      <c r="A101" s="45" t="s">
        <v>95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4.25" customHeight="1">
      <c r="A102" s="40" t="s">
        <v>96</v>
      </c>
      <c r="B102" s="20">
        <f>'Budget - Grantville'!B104+'Budget - Tyler'!B104</f>
        <v>0</v>
      </c>
      <c r="C102" s="20">
        <f>'Budget - Grantville'!C104+'Budget - Tyler'!C104</f>
        <v>0</v>
      </c>
      <c r="D102" s="20">
        <f>'Budget - Grantville'!D104+'Budget - Tyler'!D104</f>
        <v>0</v>
      </c>
      <c r="E102" s="20">
        <f>'Budget - Grantville'!E104+'Budget - Tyler'!E104</f>
        <v>0</v>
      </c>
      <c r="F102" s="20">
        <f>'Budget - Grantville'!F104+'Budget - Tyler'!F104</f>
        <v>0</v>
      </c>
      <c r="G102" s="20">
        <f>'Budget - Grantville'!G104+'Budget - Tyler'!G104</f>
        <v>0</v>
      </c>
      <c r="H102" s="20">
        <f>'Budget - Grantville'!H104+'Budget - Tyler'!H104</f>
        <v>0</v>
      </c>
      <c r="I102" s="20">
        <f>'Budget - Grantville'!I104+'Budget - Tyler'!I104</f>
        <v>0</v>
      </c>
      <c r="J102" s="20">
        <f>'Budget - Grantville'!J104+'Budget - Tyler'!J104</f>
        <v>0</v>
      </c>
      <c r="K102" s="20">
        <f>'Budget - Grantville'!K104+'Budget - Tyler'!K104</f>
        <v>0</v>
      </c>
      <c r="L102" s="20">
        <f>'Budget - Grantville'!L104+'Budget - Tyler'!L104</f>
        <v>0</v>
      </c>
      <c r="M102" s="20">
        <f>'Budget - Grantville'!M104+'Budget - Tyler'!M104</f>
        <v>0</v>
      </c>
      <c r="N102" s="20">
        <f t="shared" ref="N102:N107" si="31">(((((((((((B102)+(C102))+(D102))+(E102))+(F102))+(G102))+(H102))+(I102))+(J102))+(K102))+(L102))+(M102)</f>
        <v>0</v>
      </c>
      <c r="O102" s="31">
        <v>3300.0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4.25" customHeight="1">
      <c r="A103" s="40" t="s">
        <v>97</v>
      </c>
      <c r="B103" s="20">
        <f>'Budget - Grantville'!B105+'Budget - Tyler'!B105</f>
        <v>0</v>
      </c>
      <c r="C103" s="20">
        <f>'Budget - Grantville'!C105+'Budget - Tyler'!C105</f>
        <v>0</v>
      </c>
      <c r="D103" s="20">
        <f>'Budget - Grantville'!D105+'Budget - Tyler'!D105</f>
        <v>0</v>
      </c>
      <c r="E103" s="20">
        <f>'Budget - Grantville'!E105+'Budget - Tyler'!E105</f>
        <v>0</v>
      </c>
      <c r="F103" s="20">
        <f>'Budget - Grantville'!F105+'Budget - Tyler'!F105</f>
        <v>0</v>
      </c>
      <c r="G103" s="20">
        <f>'Budget - Grantville'!G105+'Budget - Tyler'!G105</f>
        <v>0</v>
      </c>
      <c r="H103" s="20">
        <f>'Budget - Grantville'!H105+'Budget - Tyler'!H105</f>
        <v>0</v>
      </c>
      <c r="I103" s="20">
        <f>'Budget - Grantville'!I105+'Budget - Tyler'!I105</f>
        <v>0</v>
      </c>
      <c r="J103" s="20">
        <f>'Budget - Grantville'!J105+'Budget - Tyler'!J105</f>
        <v>0</v>
      </c>
      <c r="K103" s="20">
        <f>'Budget - Grantville'!K105+'Budget - Tyler'!K105</f>
        <v>0</v>
      </c>
      <c r="L103" s="20">
        <f>'Budget - Grantville'!L105+'Budget - Tyler'!L105</f>
        <v>0</v>
      </c>
      <c r="M103" s="20">
        <f>'Budget - Grantville'!M105+'Budget - Tyler'!M105</f>
        <v>0</v>
      </c>
      <c r="N103" s="20">
        <f t="shared" si="31"/>
        <v>0</v>
      </c>
      <c r="O103" s="31">
        <f>103.08-98.29</f>
        <v>4.79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4.25" customHeight="1">
      <c r="A104" s="40" t="s">
        <v>98</v>
      </c>
      <c r="B104" s="31">
        <v>300.0</v>
      </c>
      <c r="C104" s="31">
        <v>300.0</v>
      </c>
      <c r="D104" s="31">
        <v>300.0</v>
      </c>
      <c r="E104" s="31">
        <v>300.0</v>
      </c>
      <c r="F104" s="31">
        <v>300.0</v>
      </c>
      <c r="G104" s="31">
        <v>300.0</v>
      </c>
      <c r="H104" s="31">
        <v>300.0</v>
      </c>
      <c r="I104" s="31">
        <v>300.0</v>
      </c>
      <c r="J104" s="31">
        <v>300.0</v>
      </c>
      <c r="K104" s="31">
        <v>300.0</v>
      </c>
      <c r="L104" s="31">
        <v>300.0</v>
      </c>
      <c r="M104" s="31">
        <v>300.0</v>
      </c>
      <c r="N104" s="20">
        <f t="shared" si="31"/>
        <v>3600</v>
      </c>
      <c r="O104" s="31">
        <v>1254.87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4.25" customHeight="1">
      <c r="A105" s="40" t="s">
        <v>99</v>
      </c>
      <c r="B105" s="20">
        <f>'Budget - Grantville'!B107+'Budget - Tyler'!B107</f>
        <v>0</v>
      </c>
      <c r="C105" s="20">
        <f>'Budget - Grantville'!C107+'Budget - Tyler'!C107</f>
        <v>0</v>
      </c>
      <c r="D105" s="20">
        <f>'Budget - Grantville'!D107+'Budget - Tyler'!D107</f>
        <v>0</v>
      </c>
      <c r="E105" s="20">
        <f>'Budget - Grantville'!E107+'Budget - Tyler'!E107</f>
        <v>0</v>
      </c>
      <c r="F105" s="20">
        <f>'Budget - Grantville'!F107+'Budget - Tyler'!F107</f>
        <v>0</v>
      </c>
      <c r="G105" s="20">
        <f>'Budget - Grantville'!G107+'Budget - Tyler'!G107</f>
        <v>0</v>
      </c>
      <c r="H105" s="20">
        <f>'Budget - Grantville'!H107+'Budget - Tyler'!H107</f>
        <v>0</v>
      </c>
      <c r="I105" s="20">
        <f>'Budget - Grantville'!I107+'Budget - Tyler'!I107</f>
        <v>0</v>
      </c>
      <c r="J105" s="20">
        <f>'Budget - Grantville'!J107+'Budget - Tyler'!J107</f>
        <v>0</v>
      </c>
      <c r="K105" s="20">
        <f>'Budget - Grantville'!K107+'Budget - Tyler'!K107</f>
        <v>0</v>
      </c>
      <c r="L105" s="20">
        <f>'Budget - Grantville'!L107+'Budget - Tyler'!L107</f>
        <v>0</v>
      </c>
      <c r="M105" s="20">
        <f>'Budget - Grantville'!M107+'Budget - Tyler'!M107</f>
        <v>0</v>
      </c>
      <c r="N105" s="20">
        <f t="shared" si="31"/>
        <v>0</v>
      </c>
      <c r="O105" s="31">
        <v>1304.0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4.25" customHeight="1">
      <c r="A106" s="40" t="s">
        <v>100</v>
      </c>
      <c r="B106" s="20">
        <f>'Budget - Grantville'!B108+'Budget - Tyler'!B108</f>
        <v>0</v>
      </c>
      <c r="C106" s="20">
        <f>'Budget - Grantville'!C108+'Budget - Tyler'!C108</f>
        <v>0</v>
      </c>
      <c r="D106" s="20">
        <f>'Budget - Grantville'!D108+'Budget - Tyler'!D108</f>
        <v>0</v>
      </c>
      <c r="E106" s="20">
        <f>'Budget - Grantville'!E108+'Budget - Tyler'!E108</f>
        <v>0</v>
      </c>
      <c r="F106" s="20">
        <f>'Budget - Grantville'!F108+'Budget - Tyler'!F108</f>
        <v>0</v>
      </c>
      <c r="G106" s="20">
        <f>'Budget - Grantville'!G108+'Budget - Tyler'!G108</f>
        <v>0</v>
      </c>
      <c r="H106" s="20">
        <f>'Budget - Grantville'!H108+'Budget - Tyler'!H108</f>
        <v>0</v>
      </c>
      <c r="I106" s="20">
        <f>'Budget - Grantville'!I108+'Budget - Tyler'!I108</f>
        <v>0</v>
      </c>
      <c r="J106" s="20">
        <f>'Budget - Grantville'!J108+'Budget - Tyler'!J108</f>
        <v>0</v>
      </c>
      <c r="K106" s="20">
        <f>'Budget - Grantville'!K108+'Budget - Tyler'!K108</f>
        <v>0</v>
      </c>
      <c r="L106" s="20">
        <f>'Budget - Grantville'!L108+'Budget - Tyler'!L108</f>
        <v>0</v>
      </c>
      <c r="M106" s="20">
        <f>'Budget - Grantville'!M108+'Budget - Tyler'!M108</f>
        <v>0</v>
      </c>
      <c r="N106" s="20">
        <f t="shared" si="31"/>
        <v>0</v>
      </c>
      <c r="O106" s="31">
        <v>34469.0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4.25" customHeight="1">
      <c r="A107" s="45" t="s">
        <v>101</v>
      </c>
      <c r="B107" s="26">
        <f t="shared" ref="B107:M107" si="32">SUM(B102:B106)</f>
        <v>300</v>
      </c>
      <c r="C107" s="26">
        <f t="shared" si="32"/>
        <v>300</v>
      </c>
      <c r="D107" s="26">
        <f t="shared" si="32"/>
        <v>300</v>
      </c>
      <c r="E107" s="26">
        <f t="shared" si="32"/>
        <v>300</v>
      </c>
      <c r="F107" s="26">
        <f t="shared" si="32"/>
        <v>300</v>
      </c>
      <c r="G107" s="26">
        <f t="shared" si="32"/>
        <v>300</v>
      </c>
      <c r="H107" s="26">
        <f t="shared" si="32"/>
        <v>300</v>
      </c>
      <c r="I107" s="26">
        <f t="shared" si="32"/>
        <v>300</v>
      </c>
      <c r="J107" s="26">
        <f t="shared" si="32"/>
        <v>300</v>
      </c>
      <c r="K107" s="26">
        <f t="shared" si="32"/>
        <v>300</v>
      </c>
      <c r="L107" s="26">
        <f t="shared" si="32"/>
        <v>300</v>
      </c>
      <c r="M107" s="26">
        <f t="shared" si="32"/>
        <v>300</v>
      </c>
      <c r="N107" s="26">
        <f t="shared" si="31"/>
        <v>3600</v>
      </c>
      <c r="O107" s="26">
        <f>SUM(O102:O106)</f>
        <v>40332.66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4.25" customHeight="1">
      <c r="A108" s="45" t="s">
        <v>102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4.25" customHeight="1">
      <c r="A109" s="40" t="s">
        <v>103</v>
      </c>
      <c r="B109" s="31">
        <v>977.0</v>
      </c>
      <c r="C109" s="31">
        <v>977.0</v>
      </c>
      <c r="D109" s="31">
        <v>977.0</v>
      </c>
      <c r="E109" s="31">
        <v>977.0</v>
      </c>
      <c r="F109" s="31">
        <v>977.0</v>
      </c>
      <c r="G109" s="31">
        <v>977.0</v>
      </c>
      <c r="H109" s="31">
        <v>977.0</v>
      </c>
      <c r="I109" s="31">
        <v>977.0</v>
      </c>
      <c r="J109" s="31">
        <v>977.0</v>
      </c>
      <c r="K109" s="31">
        <v>977.0</v>
      </c>
      <c r="L109" s="31">
        <v>977.0</v>
      </c>
      <c r="M109" s="31">
        <v>977.0</v>
      </c>
      <c r="N109" s="20">
        <f t="shared" ref="N109:N111" si="33">(((((((((((B109)+(C109))+(D109))+(E109))+(F109))+(G109))+(H109))+(I109))+(J109))+(K109))+(L109))+(M109)</f>
        <v>11724</v>
      </c>
      <c r="O109" s="31">
        <v>6402.24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4.25" customHeight="1">
      <c r="A110" s="40" t="s">
        <v>104</v>
      </c>
      <c r="B110" s="31">
        <v>4560.64</v>
      </c>
      <c r="C110" s="31">
        <v>4560.64</v>
      </c>
      <c r="D110" s="31">
        <v>4560.64</v>
      </c>
      <c r="E110" s="31">
        <v>4560.64</v>
      </c>
      <c r="F110" s="31">
        <v>4560.64</v>
      </c>
      <c r="G110" s="31">
        <v>4560.64</v>
      </c>
      <c r="H110" s="31">
        <v>4560.64</v>
      </c>
      <c r="I110" s="31">
        <v>4560.64</v>
      </c>
      <c r="J110" s="31">
        <v>4560.64</v>
      </c>
      <c r="K110" s="31">
        <v>4560.64</v>
      </c>
      <c r="L110" s="31">
        <v>4560.64</v>
      </c>
      <c r="M110" s="31">
        <v>4560.64</v>
      </c>
      <c r="N110" s="20">
        <f t="shared" si="33"/>
        <v>54727.68</v>
      </c>
      <c r="O110" s="31">
        <v>53459.29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4.25" customHeight="1">
      <c r="A111" s="45" t="s">
        <v>105</v>
      </c>
      <c r="B111" s="26">
        <f t="shared" ref="B111:M111" si="34">SUM(B109:B110)</f>
        <v>5537.64</v>
      </c>
      <c r="C111" s="26">
        <f t="shared" si="34"/>
        <v>5537.64</v>
      </c>
      <c r="D111" s="26">
        <f t="shared" si="34"/>
        <v>5537.64</v>
      </c>
      <c r="E111" s="26">
        <f t="shared" si="34"/>
        <v>5537.64</v>
      </c>
      <c r="F111" s="26">
        <f t="shared" si="34"/>
        <v>5537.64</v>
      </c>
      <c r="G111" s="26">
        <f t="shared" si="34"/>
        <v>5537.64</v>
      </c>
      <c r="H111" s="26">
        <f t="shared" si="34"/>
        <v>5537.64</v>
      </c>
      <c r="I111" s="26">
        <f t="shared" si="34"/>
        <v>5537.64</v>
      </c>
      <c r="J111" s="26">
        <f t="shared" si="34"/>
        <v>5537.64</v>
      </c>
      <c r="K111" s="26">
        <f t="shared" si="34"/>
        <v>5537.64</v>
      </c>
      <c r="L111" s="26">
        <f t="shared" si="34"/>
        <v>5537.64</v>
      </c>
      <c r="M111" s="26">
        <f t="shared" si="34"/>
        <v>5537.64</v>
      </c>
      <c r="N111" s="26">
        <f t="shared" si="33"/>
        <v>66451.68</v>
      </c>
      <c r="O111" s="26">
        <f>SUM(O109:O110)</f>
        <v>59861.53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4.25" customHeight="1">
      <c r="A112" s="45" t="s">
        <v>106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4.25" customHeight="1">
      <c r="A113" s="40" t="s">
        <v>107</v>
      </c>
      <c r="B113" s="31">
        <v>4.0</v>
      </c>
      <c r="C113" s="31">
        <v>4.0</v>
      </c>
      <c r="D113" s="31">
        <v>4.0</v>
      </c>
      <c r="E113" s="31">
        <v>4.0</v>
      </c>
      <c r="F113" s="31">
        <v>4.0</v>
      </c>
      <c r="G113" s="31">
        <v>4.0</v>
      </c>
      <c r="H113" s="31">
        <v>4.0</v>
      </c>
      <c r="I113" s="31">
        <v>4.0</v>
      </c>
      <c r="J113" s="31">
        <v>4.0</v>
      </c>
      <c r="K113" s="31">
        <v>4.0</v>
      </c>
      <c r="L113" s="31">
        <v>4.0</v>
      </c>
      <c r="M113" s="31">
        <v>4.0</v>
      </c>
      <c r="N113" s="20">
        <f t="shared" ref="N113:N118" si="35">(((((((((((B113)+(C113))+(D113))+(E113))+(F113))+(G113))+(H113))+(I113))+(J113))+(K113))+(L113))+(M113)</f>
        <v>48</v>
      </c>
      <c r="O113" s="31">
        <v>-1887.38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4.25" customHeight="1">
      <c r="A114" s="40" t="s">
        <v>108</v>
      </c>
      <c r="B114" s="31">
        <v>471.0</v>
      </c>
      <c r="C114" s="31">
        <v>471.0</v>
      </c>
      <c r="D114" s="31">
        <v>471.0</v>
      </c>
      <c r="E114" s="31">
        <v>471.0</v>
      </c>
      <c r="F114" s="31">
        <v>471.0</v>
      </c>
      <c r="G114" s="31">
        <v>471.0</v>
      </c>
      <c r="H114" s="31">
        <v>471.0</v>
      </c>
      <c r="I114" s="31">
        <v>471.0</v>
      </c>
      <c r="J114" s="31">
        <v>471.0</v>
      </c>
      <c r="K114" s="31">
        <v>471.0</v>
      </c>
      <c r="L114" s="31">
        <v>471.0</v>
      </c>
      <c r="M114" s="31">
        <v>471.0</v>
      </c>
      <c r="N114" s="20">
        <f t="shared" si="35"/>
        <v>5652</v>
      </c>
      <c r="O114" s="31">
        <v>5660.04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4.25" customHeight="1">
      <c r="A115" s="40" t="s">
        <v>109</v>
      </c>
      <c r="B115" s="31">
        <v>3520.91</v>
      </c>
      <c r="C115" s="31">
        <v>3520.91</v>
      </c>
      <c r="D115" s="31">
        <v>3520.91</v>
      </c>
      <c r="E115" s="31">
        <v>3520.91</v>
      </c>
      <c r="F115" s="31">
        <v>3520.91</v>
      </c>
      <c r="G115" s="31">
        <v>3520.91</v>
      </c>
      <c r="H115" s="31">
        <v>3520.91</v>
      </c>
      <c r="I115" s="31">
        <v>3520.91</v>
      </c>
      <c r="J115" s="31">
        <v>3520.91</v>
      </c>
      <c r="K115" s="31">
        <v>3520.91</v>
      </c>
      <c r="L115" s="31">
        <v>3520.91</v>
      </c>
      <c r="M115" s="31">
        <v>3520.91</v>
      </c>
      <c r="N115" s="20">
        <f t="shared" si="35"/>
        <v>42250.92</v>
      </c>
      <c r="O115" s="31">
        <v>42027.98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4.25" customHeight="1">
      <c r="A116" s="45" t="s">
        <v>110</v>
      </c>
      <c r="B116" s="26">
        <f t="shared" ref="B116:M116" si="36">SUM(B113:B115)</f>
        <v>3995.91</v>
      </c>
      <c r="C116" s="26">
        <f t="shared" si="36"/>
        <v>3995.91</v>
      </c>
      <c r="D116" s="26">
        <f t="shared" si="36"/>
        <v>3995.91</v>
      </c>
      <c r="E116" s="26">
        <f t="shared" si="36"/>
        <v>3995.91</v>
      </c>
      <c r="F116" s="26">
        <f t="shared" si="36"/>
        <v>3995.91</v>
      </c>
      <c r="G116" s="26">
        <f t="shared" si="36"/>
        <v>3995.91</v>
      </c>
      <c r="H116" s="26">
        <f t="shared" si="36"/>
        <v>3995.91</v>
      </c>
      <c r="I116" s="26">
        <f t="shared" si="36"/>
        <v>3995.91</v>
      </c>
      <c r="J116" s="26">
        <f t="shared" si="36"/>
        <v>3995.91</v>
      </c>
      <c r="K116" s="26">
        <f t="shared" si="36"/>
        <v>3995.91</v>
      </c>
      <c r="L116" s="26">
        <f t="shared" si="36"/>
        <v>3995.91</v>
      </c>
      <c r="M116" s="26">
        <f t="shared" si="36"/>
        <v>3995.91</v>
      </c>
      <c r="N116" s="26">
        <f t="shared" si="35"/>
        <v>47950.92</v>
      </c>
      <c r="O116" s="26">
        <f>SUM(O113:O115)</f>
        <v>45800.64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4.25" customHeight="1">
      <c r="A117" s="45" t="s">
        <v>111</v>
      </c>
      <c r="B117" s="26">
        <f t="shared" ref="B117:M117" si="37">B107+B111+B116</f>
        <v>9833.55</v>
      </c>
      <c r="C117" s="26">
        <f t="shared" si="37"/>
        <v>9833.55</v>
      </c>
      <c r="D117" s="26">
        <f t="shared" si="37"/>
        <v>9833.55</v>
      </c>
      <c r="E117" s="26">
        <f t="shared" si="37"/>
        <v>9833.55</v>
      </c>
      <c r="F117" s="26">
        <f t="shared" si="37"/>
        <v>9833.55</v>
      </c>
      <c r="G117" s="26">
        <f t="shared" si="37"/>
        <v>9833.55</v>
      </c>
      <c r="H117" s="26">
        <f t="shared" si="37"/>
        <v>9833.55</v>
      </c>
      <c r="I117" s="26">
        <f t="shared" si="37"/>
        <v>9833.55</v>
      </c>
      <c r="J117" s="26">
        <f t="shared" si="37"/>
        <v>9833.55</v>
      </c>
      <c r="K117" s="26">
        <f t="shared" si="37"/>
        <v>9833.55</v>
      </c>
      <c r="L117" s="26">
        <f t="shared" si="37"/>
        <v>9833.55</v>
      </c>
      <c r="M117" s="26">
        <f t="shared" si="37"/>
        <v>9833.55</v>
      </c>
      <c r="N117" s="26">
        <f t="shared" si="35"/>
        <v>118002.6</v>
      </c>
      <c r="O117" s="26">
        <f>O107+O111+O116</f>
        <v>145994.83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4.25" customHeight="1">
      <c r="A118" s="45" t="s">
        <v>112</v>
      </c>
      <c r="B118" s="46">
        <f t="shared" ref="B118:M118" si="38">B99-B117</f>
        <v>1686.468701</v>
      </c>
      <c r="C118" s="46">
        <f t="shared" si="38"/>
        <v>1614.585413</v>
      </c>
      <c r="D118" s="46">
        <f t="shared" si="38"/>
        <v>1296.788554</v>
      </c>
      <c r="E118" s="46">
        <f t="shared" si="38"/>
        <v>1657.462219</v>
      </c>
      <c r="F118" s="46">
        <f t="shared" si="38"/>
        <v>2118.511228</v>
      </c>
      <c r="G118" s="46">
        <f t="shared" si="38"/>
        <v>2513.323207</v>
      </c>
      <c r="H118" s="46">
        <f t="shared" si="38"/>
        <v>2485.835461</v>
      </c>
      <c r="I118" s="46">
        <f t="shared" si="38"/>
        <v>3799.978458</v>
      </c>
      <c r="J118" s="46">
        <f t="shared" si="38"/>
        <v>3640.567178</v>
      </c>
      <c r="K118" s="46">
        <f t="shared" si="38"/>
        <v>3458.053488</v>
      </c>
      <c r="L118" s="46">
        <f t="shared" si="38"/>
        <v>3088.315757</v>
      </c>
      <c r="M118" s="46">
        <f t="shared" si="38"/>
        <v>3306.011356</v>
      </c>
      <c r="N118" s="46">
        <f t="shared" si="35"/>
        <v>30665.90102</v>
      </c>
      <c r="O118" s="43">
        <f>O99-O117</f>
        <v>-21818.42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4.25" customHeight="1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4.25" customHeight="1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4.25" customHeight="1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4.25" customHeight="1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4.25" customHeight="1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</row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5">
    <mergeCell ref="B1:M1"/>
    <mergeCell ref="B2:M2"/>
    <mergeCell ref="B3:M3"/>
    <mergeCell ref="A11:C11"/>
    <mergeCell ref="A33:C33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2.57"/>
    <col customWidth="1" min="3" max="3" width="12.0"/>
    <col customWidth="1" min="4" max="9" width="11.29"/>
    <col customWidth="1" min="10" max="10" width="11.43"/>
    <col customWidth="1" min="11" max="13" width="11.29"/>
    <col customWidth="1" min="14" max="14" width="14.71"/>
    <col customWidth="1" min="15" max="17" width="8.86"/>
    <col customWidth="1" min="18" max="18" width="7.57"/>
    <col customWidth="1" min="19" max="28" width="8.71"/>
  </cols>
  <sheetData>
    <row r="1">
      <c r="A1" s="1"/>
      <c r="B1" s="2" t="s">
        <v>113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" t="s">
        <v>1</v>
      </c>
      <c r="N2" s="1"/>
      <c r="O2" s="5"/>
      <c r="P2" s="5"/>
      <c r="Q2" s="4"/>
      <c r="R2" s="5"/>
      <c r="S2" s="4"/>
      <c r="T2" s="5"/>
      <c r="U2" s="5"/>
      <c r="V2" s="1"/>
      <c r="W2" s="1"/>
      <c r="X2" s="1"/>
      <c r="Y2" s="1"/>
      <c r="Z2" s="1"/>
      <c r="AA2" s="1"/>
      <c r="AB2" s="1"/>
    </row>
    <row r="3" ht="14.25" customHeight="1">
      <c r="A3" s="1"/>
      <c r="B3" s="6" t="s">
        <v>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4.25" customHeight="1">
      <c r="A4" s="1"/>
      <c r="B4" s="7"/>
      <c r="C4" s="7"/>
      <c r="D4" s="7"/>
      <c r="E4" s="7"/>
      <c r="F4" s="8"/>
      <c r="G4" s="7"/>
      <c r="H4" s="7"/>
      <c r="I4" s="7"/>
      <c r="J4" s="7"/>
      <c r="K4" s="7"/>
      <c r="L4" s="7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4.25" customHeight="1">
      <c r="A5" s="1"/>
      <c r="B5" s="9">
        <v>46023.0</v>
      </c>
      <c r="C5" s="9">
        <v>46054.0</v>
      </c>
      <c r="D5" s="9">
        <v>46082.0</v>
      </c>
      <c r="E5" s="9">
        <v>46113.0</v>
      </c>
      <c r="F5" s="9">
        <v>46143.0</v>
      </c>
      <c r="G5" s="9">
        <v>46174.0</v>
      </c>
      <c r="H5" s="9">
        <v>46204.0</v>
      </c>
      <c r="I5" s="9">
        <v>46235.0</v>
      </c>
      <c r="J5" s="9">
        <v>46266.0</v>
      </c>
      <c r="K5" s="9">
        <v>46296.0</v>
      </c>
      <c r="L5" s="9">
        <v>46327.0</v>
      </c>
      <c r="M5" s="9">
        <v>46357.0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4.25" customHeight="1">
      <c r="A6" s="10" t="s">
        <v>3</v>
      </c>
      <c r="B6" s="11">
        <v>3.0</v>
      </c>
      <c r="C6" s="11">
        <v>3.0</v>
      </c>
      <c r="D6" s="11">
        <v>3.0</v>
      </c>
      <c r="E6" s="11">
        <v>5.0</v>
      </c>
      <c r="F6" s="11">
        <v>5.0</v>
      </c>
      <c r="G6" s="11">
        <v>5.0</v>
      </c>
      <c r="H6" s="11">
        <v>8.0</v>
      </c>
      <c r="I6" s="11">
        <v>8.0</v>
      </c>
      <c r="J6" s="11">
        <v>5.0</v>
      </c>
      <c r="K6" s="11">
        <v>5.0</v>
      </c>
      <c r="L6" s="11">
        <v>5.0</v>
      </c>
      <c r="M6" s="11">
        <v>5.0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4.25" customHeight="1">
      <c r="A7" s="10" t="s">
        <v>4</v>
      </c>
      <c r="B7" s="48">
        <f>B8*0.06</f>
        <v>4.26</v>
      </c>
      <c r="C7" s="48">
        <f t="shared" ref="C7:M7" si="1">B8*0.07</f>
        <v>4.97</v>
      </c>
      <c r="D7" s="48">
        <f t="shared" si="1"/>
        <v>4.8321</v>
      </c>
      <c r="E7" s="48">
        <f t="shared" si="1"/>
        <v>4.703853</v>
      </c>
      <c r="F7" s="48">
        <f t="shared" si="1"/>
        <v>4.72458329</v>
      </c>
      <c r="G7" s="48">
        <f t="shared" si="1"/>
        <v>4.74386246</v>
      </c>
      <c r="H7" s="48">
        <f t="shared" si="1"/>
        <v>4.761792088</v>
      </c>
      <c r="I7" s="48">
        <f t="shared" si="1"/>
        <v>4.988466641</v>
      </c>
      <c r="J7" s="48">
        <f t="shared" si="1"/>
        <v>5.199273976</v>
      </c>
      <c r="K7" s="48">
        <f t="shared" si="1"/>
        <v>5.185324798</v>
      </c>
      <c r="L7" s="48">
        <f t="shared" si="1"/>
        <v>5.172352062</v>
      </c>
      <c r="M7" s="48">
        <f t="shared" si="1"/>
        <v>5.160287418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4.25" customHeight="1">
      <c r="A8" s="10" t="s">
        <v>5</v>
      </c>
      <c r="B8" s="49">
        <v>71.0</v>
      </c>
      <c r="C8" s="50">
        <f t="shared" ref="C8:M8" si="2">B8+C6-C7</f>
        <v>69.03</v>
      </c>
      <c r="D8" s="50">
        <f t="shared" si="2"/>
        <v>67.1979</v>
      </c>
      <c r="E8" s="50">
        <f t="shared" si="2"/>
        <v>67.494047</v>
      </c>
      <c r="F8" s="50">
        <f t="shared" si="2"/>
        <v>67.76946371</v>
      </c>
      <c r="G8" s="50">
        <f t="shared" si="2"/>
        <v>68.02560125</v>
      </c>
      <c r="H8" s="50">
        <f t="shared" si="2"/>
        <v>71.26380916</v>
      </c>
      <c r="I8" s="50">
        <f t="shared" si="2"/>
        <v>74.27534252</v>
      </c>
      <c r="J8" s="50">
        <f t="shared" si="2"/>
        <v>74.07606854</v>
      </c>
      <c r="K8" s="50">
        <f t="shared" si="2"/>
        <v>73.89074375</v>
      </c>
      <c r="L8" s="50">
        <f t="shared" si="2"/>
        <v>73.71839168</v>
      </c>
      <c r="M8" s="50">
        <f t="shared" si="2"/>
        <v>73.55810427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4.25" customHeight="1">
      <c r="A9" s="10" t="s">
        <v>6</v>
      </c>
      <c r="B9" s="12">
        <f t="shared" ref="B9:M9" si="3">B8/82</f>
        <v>0.8658536585</v>
      </c>
      <c r="C9" s="12">
        <f t="shared" si="3"/>
        <v>0.8418292683</v>
      </c>
      <c r="D9" s="12">
        <f t="shared" si="3"/>
        <v>0.8194865854</v>
      </c>
      <c r="E9" s="12">
        <f t="shared" si="3"/>
        <v>0.8230981341</v>
      </c>
      <c r="F9" s="12">
        <f t="shared" si="3"/>
        <v>0.8264568745</v>
      </c>
      <c r="G9" s="12">
        <f t="shared" si="3"/>
        <v>0.8295805031</v>
      </c>
      <c r="H9" s="12">
        <f t="shared" si="3"/>
        <v>0.8690708434</v>
      </c>
      <c r="I9" s="12">
        <f t="shared" si="3"/>
        <v>0.90579686</v>
      </c>
      <c r="J9" s="12">
        <f t="shared" si="3"/>
        <v>0.9033666896</v>
      </c>
      <c r="K9" s="12">
        <f t="shared" si="3"/>
        <v>0.9011066311</v>
      </c>
      <c r="L9" s="12">
        <f t="shared" si="3"/>
        <v>0.8990047766</v>
      </c>
      <c r="M9" s="12">
        <f t="shared" si="3"/>
        <v>0.897050052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4.25" customHeight="1">
      <c r="A10" s="1"/>
      <c r="B10" s="9">
        <v>46023.0</v>
      </c>
      <c r="C10" s="9">
        <v>46054.0</v>
      </c>
      <c r="D10" s="9">
        <v>46082.0</v>
      </c>
      <c r="E10" s="9">
        <v>46113.0</v>
      </c>
      <c r="F10" s="9">
        <v>46143.0</v>
      </c>
      <c r="G10" s="9">
        <v>46174.0</v>
      </c>
      <c r="H10" s="9">
        <v>46204.0</v>
      </c>
      <c r="I10" s="9">
        <v>46235.0</v>
      </c>
      <c r="J10" s="9">
        <v>46266.0</v>
      </c>
      <c r="K10" s="9">
        <v>46296.0</v>
      </c>
      <c r="L10" s="9">
        <v>46327.0</v>
      </c>
      <c r="M10" s="9">
        <v>46357.0</v>
      </c>
      <c r="N10" s="14" t="s">
        <v>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4.25" customHeight="1">
      <c r="A11" s="16" t="s">
        <v>10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4.25" customHeight="1">
      <c r="A12" s="19" t="s">
        <v>11</v>
      </c>
      <c r="B12" s="20">
        <f t="shared" ref="B12:M12" si="4">(8334/73)*B8*0.97</f>
        <v>7862.501096</v>
      </c>
      <c r="C12" s="20">
        <f t="shared" si="4"/>
        <v>7644.344375</v>
      </c>
      <c r="D12" s="20">
        <f t="shared" si="4"/>
        <v>7441.458625</v>
      </c>
      <c r="E12" s="20">
        <f t="shared" si="4"/>
        <v>7474.253782</v>
      </c>
      <c r="F12" s="20">
        <f t="shared" si="4"/>
        <v>7504.753277</v>
      </c>
      <c r="G12" s="20">
        <f t="shared" si="4"/>
        <v>7533.117808</v>
      </c>
      <c r="H12" s="20">
        <f t="shared" si="4"/>
        <v>7891.715178</v>
      </c>
      <c r="I12" s="20">
        <f t="shared" si="4"/>
        <v>8225.210732</v>
      </c>
      <c r="J12" s="20">
        <f t="shared" si="4"/>
        <v>8203.143241</v>
      </c>
      <c r="K12" s="20">
        <f t="shared" si="4"/>
        <v>8182.620474</v>
      </c>
      <c r="L12" s="20">
        <f t="shared" si="4"/>
        <v>8163.534301</v>
      </c>
      <c r="M12" s="20">
        <f t="shared" si="4"/>
        <v>8145.784161</v>
      </c>
      <c r="N12" s="20">
        <f t="shared" ref="N12:N14" si="5">SUM(B12:M12)</f>
        <v>94272.43705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4.25" customHeight="1">
      <c r="A13" s="21" t="s">
        <v>12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>
        <f t="shared" si="5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4.25" customHeight="1">
      <c r="A14" s="21" t="s">
        <v>12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>
        <f t="shared" si="5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4.25" customHeight="1">
      <c r="A15" s="24" t="s">
        <v>13</v>
      </c>
      <c r="B15" s="25">
        <f t="shared" ref="B15:M15" si="6">SUM(B12:B14)</f>
        <v>7862.501096</v>
      </c>
      <c r="C15" s="25">
        <f t="shared" si="6"/>
        <v>7644.344375</v>
      </c>
      <c r="D15" s="25">
        <f t="shared" si="6"/>
        <v>7441.458625</v>
      </c>
      <c r="E15" s="25">
        <f t="shared" si="6"/>
        <v>7474.253782</v>
      </c>
      <c r="F15" s="25">
        <f t="shared" si="6"/>
        <v>7504.753277</v>
      </c>
      <c r="G15" s="25">
        <f t="shared" si="6"/>
        <v>7533.117808</v>
      </c>
      <c r="H15" s="25">
        <f t="shared" si="6"/>
        <v>7891.715178</v>
      </c>
      <c r="I15" s="25">
        <f t="shared" si="6"/>
        <v>8225.210732</v>
      </c>
      <c r="J15" s="25">
        <f t="shared" si="6"/>
        <v>8203.143241</v>
      </c>
      <c r="K15" s="25">
        <f t="shared" si="6"/>
        <v>8182.620474</v>
      </c>
      <c r="L15" s="25">
        <f t="shared" si="6"/>
        <v>8163.534301</v>
      </c>
      <c r="M15" s="25">
        <f t="shared" si="6"/>
        <v>8145.784161</v>
      </c>
      <c r="N15" s="26">
        <f>(((((((((((B15)+(C15))+(D15))+(E15))+(F15))+(G15))+(H15))+(I15))+(J15))+(K15))+(L15))+(M15)</f>
        <v>94272.43705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4.25" customHeight="1">
      <c r="A16" s="27" t="s">
        <v>14</v>
      </c>
      <c r="B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4.25" customHeight="1">
      <c r="A17" s="30" t="s">
        <v>15</v>
      </c>
      <c r="B17" s="51">
        <f t="shared" ref="B17:M17" si="7">B6*20</f>
        <v>60</v>
      </c>
      <c r="C17" s="51">
        <f t="shared" si="7"/>
        <v>60</v>
      </c>
      <c r="D17" s="51">
        <f t="shared" si="7"/>
        <v>60</v>
      </c>
      <c r="E17" s="51">
        <f t="shared" si="7"/>
        <v>100</v>
      </c>
      <c r="F17" s="51">
        <f t="shared" si="7"/>
        <v>100</v>
      </c>
      <c r="G17" s="51">
        <f t="shared" si="7"/>
        <v>100</v>
      </c>
      <c r="H17" s="51">
        <f t="shared" si="7"/>
        <v>160</v>
      </c>
      <c r="I17" s="51">
        <f t="shared" si="7"/>
        <v>160</v>
      </c>
      <c r="J17" s="51">
        <f t="shared" si="7"/>
        <v>100</v>
      </c>
      <c r="K17" s="51">
        <f t="shared" si="7"/>
        <v>100</v>
      </c>
      <c r="L17" s="51">
        <f t="shared" si="7"/>
        <v>100</v>
      </c>
      <c r="M17" s="51">
        <f t="shared" si="7"/>
        <v>100</v>
      </c>
      <c r="N17" s="20">
        <f t="shared" ref="N17:N21" si="9">SUM(B17:M17)</f>
        <v>1200</v>
      </c>
      <c r="P17" s="29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4.25" customHeight="1">
      <c r="A18" s="21" t="s">
        <v>16</v>
      </c>
      <c r="B18" s="52">
        <f t="shared" ref="B18:M18" si="8">B12*0.03</f>
        <v>235.8750329</v>
      </c>
      <c r="C18" s="52">
        <f t="shared" si="8"/>
        <v>229.3303313</v>
      </c>
      <c r="D18" s="52">
        <f t="shared" si="8"/>
        <v>223.2437588</v>
      </c>
      <c r="E18" s="52">
        <f t="shared" si="8"/>
        <v>224.2276135</v>
      </c>
      <c r="F18" s="52">
        <f t="shared" si="8"/>
        <v>225.1425983</v>
      </c>
      <c r="G18" s="52">
        <f t="shared" si="8"/>
        <v>225.9935342</v>
      </c>
      <c r="H18" s="52">
        <f t="shared" si="8"/>
        <v>236.7514553</v>
      </c>
      <c r="I18" s="52">
        <f t="shared" si="8"/>
        <v>246.756322</v>
      </c>
      <c r="J18" s="52">
        <f t="shared" si="8"/>
        <v>246.0942972</v>
      </c>
      <c r="K18" s="52">
        <f t="shared" si="8"/>
        <v>245.4786142</v>
      </c>
      <c r="L18" s="52">
        <f t="shared" si="8"/>
        <v>244.906029</v>
      </c>
      <c r="M18" s="52">
        <f t="shared" si="8"/>
        <v>244.3735248</v>
      </c>
      <c r="N18" s="20">
        <f t="shared" si="9"/>
        <v>2828.173112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4.25" customHeight="1">
      <c r="A19" s="30" t="s">
        <v>17</v>
      </c>
      <c r="B19" s="51">
        <f t="shared" ref="B19:M19" si="10">5*(B8*0.05)</f>
        <v>17.75</v>
      </c>
      <c r="C19" s="51">
        <f t="shared" si="10"/>
        <v>17.2575</v>
      </c>
      <c r="D19" s="51">
        <f t="shared" si="10"/>
        <v>16.799475</v>
      </c>
      <c r="E19" s="51">
        <f t="shared" si="10"/>
        <v>16.87351175</v>
      </c>
      <c r="F19" s="51">
        <f t="shared" si="10"/>
        <v>16.94236593</v>
      </c>
      <c r="G19" s="51">
        <f t="shared" si="10"/>
        <v>17.00640031</v>
      </c>
      <c r="H19" s="51">
        <f t="shared" si="10"/>
        <v>17.81595229</v>
      </c>
      <c r="I19" s="51">
        <f t="shared" si="10"/>
        <v>18.56883563</v>
      </c>
      <c r="J19" s="51">
        <f t="shared" si="10"/>
        <v>18.51901714</v>
      </c>
      <c r="K19" s="51">
        <f t="shared" si="10"/>
        <v>18.47268594</v>
      </c>
      <c r="L19" s="51">
        <f t="shared" si="10"/>
        <v>18.42959792</v>
      </c>
      <c r="M19" s="51">
        <f t="shared" si="10"/>
        <v>18.38952607</v>
      </c>
      <c r="N19" s="20">
        <f t="shared" si="9"/>
        <v>212.824868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4.25" customHeight="1">
      <c r="A20" s="32" t="s">
        <v>18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>
        <f t="shared" si="9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4.25" customHeight="1">
      <c r="A21" s="30" t="s">
        <v>19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>
        <f t="shared" si="9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4.25" customHeight="1">
      <c r="A22" s="33" t="s">
        <v>20</v>
      </c>
      <c r="B22" s="26">
        <f t="shared" ref="B22:M22" si="11">SUM(B17:B21)</f>
        <v>313.6250329</v>
      </c>
      <c r="C22" s="26">
        <f t="shared" si="11"/>
        <v>306.5878313</v>
      </c>
      <c r="D22" s="26">
        <f t="shared" si="11"/>
        <v>300.0432338</v>
      </c>
      <c r="E22" s="26">
        <f t="shared" si="11"/>
        <v>341.1011252</v>
      </c>
      <c r="F22" s="26">
        <f t="shared" si="11"/>
        <v>342.0849642</v>
      </c>
      <c r="G22" s="26">
        <f t="shared" si="11"/>
        <v>342.9999346</v>
      </c>
      <c r="H22" s="26">
        <f t="shared" si="11"/>
        <v>414.5674076</v>
      </c>
      <c r="I22" s="26">
        <f t="shared" si="11"/>
        <v>425.3251576</v>
      </c>
      <c r="J22" s="26">
        <f t="shared" si="11"/>
        <v>364.6133144</v>
      </c>
      <c r="K22" s="26">
        <f t="shared" si="11"/>
        <v>363.9513002</v>
      </c>
      <c r="L22" s="26">
        <f t="shared" si="11"/>
        <v>363.335627</v>
      </c>
      <c r="M22" s="26">
        <f t="shared" si="11"/>
        <v>362.7630509</v>
      </c>
      <c r="N22" s="26">
        <f>(((((((((((B22)+(C22))+(D22))+(E22))+(F22))+(G22))+(H22))+(I22))+(J22))+(K22))+(L22))+(M22)</f>
        <v>4240.99798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4.25" customHeight="1">
      <c r="A23" s="33" t="s">
        <v>21</v>
      </c>
      <c r="B23" s="34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4.25" customHeight="1">
      <c r="A24" s="30" t="s">
        <v>22</v>
      </c>
      <c r="B24" s="20">
        <v>0.0</v>
      </c>
      <c r="C24" s="20">
        <v>0.0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20">
        <v>0.0</v>
      </c>
      <c r="M24" s="20">
        <v>0.0</v>
      </c>
      <c r="N24" s="20">
        <f t="shared" ref="N24:N29" si="13">SUM(B24:M24)</f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4.25" customHeight="1">
      <c r="A25" s="21" t="s">
        <v>23</v>
      </c>
      <c r="B25" s="53">
        <f t="shared" ref="B25:M25" si="12">B8*0.91*5</f>
        <v>323.05</v>
      </c>
      <c r="C25" s="53">
        <f t="shared" si="12"/>
        <v>314.0865</v>
      </c>
      <c r="D25" s="53">
        <f t="shared" si="12"/>
        <v>305.750445</v>
      </c>
      <c r="E25" s="53">
        <f t="shared" si="12"/>
        <v>307.0979139</v>
      </c>
      <c r="F25" s="53">
        <f t="shared" si="12"/>
        <v>308.3510599</v>
      </c>
      <c r="G25" s="53">
        <f t="shared" si="12"/>
        <v>309.5164857</v>
      </c>
      <c r="H25" s="53">
        <f t="shared" si="12"/>
        <v>324.2503317</v>
      </c>
      <c r="I25" s="53">
        <f t="shared" si="12"/>
        <v>337.9528085</v>
      </c>
      <c r="J25" s="53">
        <f t="shared" si="12"/>
        <v>337.0461119</v>
      </c>
      <c r="K25" s="53">
        <f t="shared" si="12"/>
        <v>336.202884</v>
      </c>
      <c r="L25" s="53">
        <f t="shared" si="12"/>
        <v>335.4186822</v>
      </c>
      <c r="M25" s="53">
        <f t="shared" si="12"/>
        <v>334.6893744</v>
      </c>
      <c r="N25" s="20">
        <f t="shared" si="13"/>
        <v>3873.412597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4.25" customHeight="1">
      <c r="A26" s="35" t="s">
        <v>24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0">
        <f t="shared" si="13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4.25" customHeight="1">
      <c r="A27" s="35" t="s">
        <v>25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20">
        <f t="shared" si="13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4.25" customHeight="1">
      <c r="A28" s="30" t="s">
        <v>26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0">
        <f t="shared" si="13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4.25" customHeight="1">
      <c r="A29" s="30" t="s">
        <v>26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20">
        <f t="shared" si="13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4.25" customHeight="1">
      <c r="A30" s="33" t="s">
        <v>27</v>
      </c>
      <c r="B30" s="26">
        <f t="shared" ref="B30:M30" si="14">SUM(B24:B29)</f>
        <v>323.05</v>
      </c>
      <c r="C30" s="26">
        <f t="shared" si="14"/>
        <v>314.0865</v>
      </c>
      <c r="D30" s="26">
        <f t="shared" si="14"/>
        <v>305.750445</v>
      </c>
      <c r="E30" s="26">
        <f t="shared" si="14"/>
        <v>307.0979139</v>
      </c>
      <c r="F30" s="26">
        <f t="shared" si="14"/>
        <v>308.3510599</v>
      </c>
      <c r="G30" s="26">
        <f t="shared" si="14"/>
        <v>309.5164857</v>
      </c>
      <c r="H30" s="26">
        <f t="shared" si="14"/>
        <v>324.2503317</v>
      </c>
      <c r="I30" s="26">
        <f t="shared" si="14"/>
        <v>337.9528085</v>
      </c>
      <c r="J30" s="26">
        <f t="shared" si="14"/>
        <v>337.0461119</v>
      </c>
      <c r="K30" s="26">
        <f t="shared" si="14"/>
        <v>336.202884</v>
      </c>
      <c r="L30" s="26">
        <f t="shared" si="14"/>
        <v>335.4186822</v>
      </c>
      <c r="M30" s="26">
        <f t="shared" si="14"/>
        <v>334.6893744</v>
      </c>
      <c r="N30" s="26">
        <f>(((((((((((B30)+(C30))+(D30))+(E30))+(F30))+(G30))+(H30))+(I30))+(J30))+(K30))+(L30))+(M30)</f>
        <v>3873.412597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4.25" customHeight="1">
      <c r="A31" s="16" t="s">
        <v>28</v>
      </c>
      <c r="B31" s="26">
        <f t="shared" ref="B31:M31" si="15">B15+B22+B30</f>
        <v>8499.176129</v>
      </c>
      <c r="C31" s="26">
        <f t="shared" si="15"/>
        <v>8265.018707</v>
      </c>
      <c r="D31" s="26">
        <f t="shared" si="15"/>
        <v>8047.252304</v>
      </c>
      <c r="E31" s="26">
        <f t="shared" si="15"/>
        <v>8122.452821</v>
      </c>
      <c r="F31" s="26">
        <f t="shared" si="15"/>
        <v>8155.189301</v>
      </c>
      <c r="G31" s="26">
        <f t="shared" si="15"/>
        <v>8185.634228</v>
      </c>
      <c r="H31" s="26">
        <f t="shared" si="15"/>
        <v>8630.532917</v>
      </c>
      <c r="I31" s="26">
        <f t="shared" si="15"/>
        <v>8988.488698</v>
      </c>
      <c r="J31" s="26">
        <f t="shared" si="15"/>
        <v>8904.802667</v>
      </c>
      <c r="K31" s="26">
        <f t="shared" si="15"/>
        <v>8882.774659</v>
      </c>
      <c r="L31" s="26">
        <f t="shared" si="15"/>
        <v>8862.288611</v>
      </c>
      <c r="M31" s="26">
        <f t="shared" si="15"/>
        <v>8843.236586</v>
      </c>
      <c r="N31" s="26">
        <f>SUM(B31:M31)</f>
        <v>102386.8476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4.25" customHeight="1">
      <c r="A32" s="1"/>
      <c r="B32" s="34"/>
      <c r="C32" s="34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4.25" customHeight="1">
      <c r="A33" s="16" t="s">
        <v>29</v>
      </c>
      <c r="D33" s="36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4.25" customHeight="1">
      <c r="A34" s="33" t="s">
        <v>30</v>
      </c>
      <c r="B34" s="34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4.25" customHeight="1">
      <c r="A35" s="37" t="s">
        <v>31</v>
      </c>
      <c r="B35" s="31">
        <v>300.0</v>
      </c>
      <c r="C35" s="20">
        <f t="shared" ref="C35:M35" si="16">B35</f>
        <v>300</v>
      </c>
      <c r="D35" s="20">
        <f t="shared" si="16"/>
        <v>300</v>
      </c>
      <c r="E35" s="20">
        <f t="shared" si="16"/>
        <v>300</v>
      </c>
      <c r="F35" s="20">
        <f t="shared" si="16"/>
        <v>300</v>
      </c>
      <c r="G35" s="20">
        <f t="shared" si="16"/>
        <v>300</v>
      </c>
      <c r="H35" s="20">
        <f t="shared" si="16"/>
        <v>300</v>
      </c>
      <c r="I35" s="20">
        <f t="shared" si="16"/>
        <v>300</v>
      </c>
      <c r="J35" s="20">
        <f t="shared" si="16"/>
        <v>300</v>
      </c>
      <c r="K35" s="20">
        <f t="shared" si="16"/>
        <v>300</v>
      </c>
      <c r="L35" s="20">
        <f t="shared" si="16"/>
        <v>300</v>
      </c>
      <c r="M35" s="20">
        <f t="shared" si="16"/>
        <v>300</v>
      </c>
      <c r="N35" s="20">
        <f t="shared" ref="N35:N47" si="19">(((((((((((B35)+(C35))+(D35))+(E35))+(F35))+(G35))+(H35))+(I35))+(J35))+(K35))+(L35))+(M35)</f>
        <v>3600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4.25" customHeight="1">
      <c r="A36" s="37" t="s">
        <v>32</v>
      </c>
      <c r="B36" s="20">
        <v>0.0</v>
      </c>
      <c r="C36" s="20">
        <v>0.0</v>
      </c>
      <c r="D36" s="20">
        <v>100.0</v>
      </c>
      <c r="E36" s="20">
        <v>0.0</v>
      </c>
      <c r="F36" s="20">
        <f t="shared" ref="F36:G36" si="17">0</f>
        <v>0</v>
      </c>
      <c r="G36" s="20">
        <f t="shared" si="17"/>
        <v>0</v>
      </c>
      <c r="H36" s="20">
        <v>100.0</v>
      </c>
      <c r="I36" s="20">
        <f t="shared" ref="I36:K36" si="18">0</f>
        <v>0</v>
      </c>
      <c r="J36" s="20">
        <f t="shared" si="18"/>
        <v>0</v>
      </c>
      <c r="K36" s="20">
        <f t="shared" si="18"/>
        <v>0</v>
      </c>
      <c r="L36" s="20">
        <v>100.0</v>
      </c>
      <c r="M36" s="20">
        <f>0</f>
        <v>0</v>
      </c>
      <c r="N36" s="20">
        <f t="shared" si="19"/>
        <v>300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4.25" customHeight="1">
      <c r="A37" s="37" t="s">
        <v>33</v>
      </c>
      <c r="B37" s="31">
        <v>0.0</v>
      </c>
      <c r="C37" s="20">
        <f t="shared" ref="C37:M37" si="20">B37</f>
        <v>0</v>
      </c>
      <c r="D37" s="20">
        <f t="shared" si="20"/>
        <v>0</v>
      </c>
      <c r="E37" s="20">
        <f t="shared" si="20"/>
        <v>0</v>
      </c>
      <c r="F37" s="20">
        <f t="shared" si="20"/>
        <v>0</v>
      </c>
      <c r="G37" s="20">
        <f t="shared" si="20"/>
        <v>0</v>
      </c>
      <c r="H37" s="20">
        <f t="shared" si="20"/>
        <v>0</v>
      </c>
      <c r="I37" s="20">
        <f t="shared" si="20"/>
        <v>0</v>
      </c>
      <c r="J37" s="20">
        <f t="shared" si="20"/>
        <v>0</v>
      </c>
      <c r="K37" s="20">
        <f t="shared" si="20"/>
        <v>0</v>
      </c>
      <c r="L37" s="20">
        <f t="shared" si="20"/>
        <v>0</v>
      </c>
      <c r="M37" s="20">
        <f t="shared" si="20"/>
        <v>0</v>
      </c>
      <c r="N37" s="20">
        <f t="shared" si="19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4.25" customHeight="1">
      <c r="A38" s="37" t="s">
        <v>34</v>
      </c>
      <c r="B38" s="31">
        <v>300.0</v>
      </c>
      <c r="C38" s="20">
        <f t="shared" ref="C38:M38" si="21">B38</f>
        <v>300</v>
      </c>
      <c r="D38" s="20">
        <f t="shared" si="21"/>
        <v>300</v>
      </c>
      <c r="E38" s="20">
        <f t="shared" si="21"/>
        <v>300</v>
      </c>
      <c r="F38" s="20">
        <f t="shared" si="21"/>
        <v>300</v>
      </c>
      <c r="G38" s="20">
        <f t="shared" si="21"/>
        <v>300</v>
      </c>
      <c r="H38" s="20">
        <f t="shared" si="21"/>
        <v>300</v>
      </c>
      <c r="I38" s="20">
        <f t="shared" si="21"/>
        <v>300</v>
      </c>
      <c r="J38" s="20">
        <f t="shared" si="21"/>
        <v>300</v>
      </c>
      <c r="K38" s="20">
        <f t="shared" si="21"/>
        <v>300</v>
      </c>
      <c r="L38" s="20">
        <f t="shared" si="21"/>
        <v>300</v>
      </c>
      <c r="M38" s="20">
        <f t="shared" si="21"/>
        <v>300</v>
      </c>
      <c r="N38" s="20">
        <f t="shared" si="19"/>
        <v>3600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4.25" customHeight="1">
      <c r="A39" s="38" t="s">
        <v>35</v>
      </c>
      <c r="B39" s="20">
        <v>0.0</v>
      </c>
      <c r="C39" s="20">
        <f t="shared" ref="C39:M39" si="22">B39</f>
        <v>0</v>
      </c>
      <c r="D39" s="20">
        <f t="shared" si="22"/>
        <v>0</v>
      </c>
      <c r="E39" s="20">
        <f t="shared" si="22"/>
        <v>0</v>
      </c>
      <c r="F39" s="20">
        <f t="shared" si="22"/>
        <v>0</v>
      </c>
      <c r="G39" s="20">
        <f t="shared" si="22"/>
        <v>0</v>
      </c>
      <c r="H39" s="20">
        <f t="shared" si="22"/>
        <v>0</v>
      </c>
      <c r="I39" s="20">
        <f t="shared" si="22"/>
        <v>0</v>
      </c>
      <c r="J39" s="20">
        <f t="shared" si="22"/>
        <v>0</v>
      </c>
      <c r="K39" s="20">
        <f t="shared" si="22"/>
        <v>0</v>
      </c>
      <c r="L39" s="20">
        <f t="shared" si="22"/>
        <v>0</v>
      </c>
      <c r="M39" s="20">
        <f t="shared" si="22"/>
        <v>0</v>
      </c>
      <c r="N39" s="20">
        <f t="shared" si="19"/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4.25" customHeight="1">
      <c r="A40" s="33" t="s">
        <v>30</v>
      </c>
      <c r="B40" s="26">
        <f t="shared" ref="B40:M40" si="23">SUM(B35:B39)</f>
        <v>600</v>
      </c>
      <c r="C40" s="26">
        <f t="shared" si="23"/>
        <v>600</v>
      </c>
      <c r="D40" s="26">
        <f t="shared" si="23"/>
        <v>700</v>
      </c>
      <c r="E40" s="26">
        <f t="shared" si="23"/>
        <v>600</v>
      </c>
      <c r="F40" s="26">
        <f t="shared" si="23"/>
        <v>600</v>
      </c>
      <c r="G40" s="26">
        <f t="shared" si="23"/>
        <v>600</v>
      </c>
      <c r="H40" s="26">
        <f t="shared" si="23"/>
        <v>700</v>
      </c>
      <c r="I40" s="26">
        <f t="shared" si="23"/>
        <v>600</v>
      </c>
      <c r="J40" s="26">
        <f t="shared" si="23"/>
        <v>600</v>
      </c>
      <c r="K40" s="26">
        <f t="shared" si="23"/>
        <v>600</v>
      </c>
      <c r="L40" s="26">
        <f t="shared" si="23"/>
        <v>700</v>
      </c>
      <c r="M40" s="26">
        <f t="shared" si="23"/>
        <v>600</v>
      </c>
      <c r="N40" s="26">
        <f t="shared" si="19"/>
        <v>7500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4.25" customHeight="1">
      <c r="A41" s="33" t="s">
        <v>36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0">
        <f t="shared" si="19"/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4.25" customHeight="1">
      <c r="A42" s="39" t="s">
        <v>37</v>
      </c>
      <c r="B42" s="31">
        <v>100.0</v>
      </c>
      <c r="C42" s="31">
        <v>100.0</v>
      </c>
      <c r="D42" s="31">
        <v>100.0</v>
      </c>
      <c r="E42" s="31">
        <v>100.0</v>
      </c>
      <c r="F42" s="31">
        <v>100.0</v>
      </c>
      <c r="G42" s="31">
        <v>100.0</v>
      </c>
      <c r="H42" s="31">
        <v>100.0</v>
      </c>
      <c r="I42" s="31">
        <v>100.0</v>
      </c>
      <c r="J42" s="31">
        <v>100.0</v>
      </c>
      <c r="K42" s="31">
        <v>100.0</v>
      </c>
      <c r="L42" s="31">
        <v>100.0</v>
      </c>
      <c r="M42" s="31">
        <v>100.0</v>
      </c>
      <c r="N42" s="20">
        <f t="shared" si="19"/>
        <v>1200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4.25" customHeight="1">
      <c r="A43" s="39" t="s">
        <v>38</v>
      </c>
      <c r="B43" s="20">
        <f t="shared" ref="B43:M43" si="24">IF(B31*0.06&lt;1000,1000,B31*0.06)</f>
        <v>1000</v>
      </c>
      <c r="C43" s="20">
        <f t="shared" si="24"/>
        <v>1000</v>
      </c>
      <c r="D43" s="20">
        <f t="shared" si="24"/>
        <v>1000</v>
      </c>
      <c r="E43" s="20">
        <f t="shared" si="24"/>
        <v>1000</v>
      </c>
      <c r="F43" s="20">
        <f t="shared" si="24"/>
        <v>1000</v>
      </c>
      <c r="G43" s="20">
        <f t="shared" si="24"/>
        <v>1000</v>
      </c>
      <c r="H43" s="20">
        <f t="shared" si="24"/>
        <v>1000</v>
      </c>
      <c r="I43" s="20">
        <f t="shared" si="24"/>
        <v>1000</v>
      </c>
      <c r="J43" s="20">
        <f t="shared" si="24"/>
        <v>1000</v>
      </c>
      <c r="K43" s="20">
        <f t="shared" si="24"/>
        <v>1000</v>
      </c>
      <c r="L43" s="20">
        <f t="shared" si="24"/>
        <v>1000</v>
      </c>
      <c r="M43" s="20">
        <f t="shared" si="24"/>
        <v>1000</v>
      </c>
      <c r="N43" s="20">
        <f t="shared" si="19"/>
        <v>12000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4.25" customHeight="1">
      <c r="A44" s="39" t="s">
        <v>39</v>
      </c>
      <c r="B44" s="31">
        <v>0.0</v>
      </c>
      <c r="C44" s="31">
        <v>0.0</v>
      </c>
      <c r="D44" s="31">
        <v>0.0</v>
      </c>
      <c r="E44" s="31">
        <v>0.0</v>
      </c>
      <c r="F44" s="31">
        <v>0.0</v>
      </c>
      <c r="G44" s="31">
        <v>0.0</v>
      </c>
      <c r="H44" s="31">
        <v>0.0</v>
      </c>
      <c r="I44" s="31">
        <v>0.0</v>
      </c>
      <c r="J44" s="31">
        <v>0.0</v>
      </c>
      <c r="K44" s="31">
        <v>0.0</v>
      </c>
      <c r="L44" s="31">
        <v>0.0</v>
      </c>
      <c r="M44" s="31">
        <v>0.0</v>
      </c>
      <c r="N44" s="20">
        <f t="shared" si="19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4.25" customHeight="1">
      <c r="A45" s="40" t="s">
        <v>40</v>
      </c>
      <c r="B45" s="31">
        <v>0.0</v>
      </c>
      <c r="C45" s="31">
        <v>0.0</v>
      </c>
      <c r="D45" s="31">
        <v>0.0</v>
      </c>
      <c r="E45" s="31">
        <v>0.0</v>
      </c>
      <c r="F45" s="31">
        <v>0.0</v>
      </c>
      <c r="G45" s="31">
        <v>0.0</v>
      </c>
      <c r="H45" s="31">
        <v>150.0</v>
      </c>
      <c r="I45" s="31">
        <v>75.0</v>
      </c>
      <c r="J45" s="31">
        <v>0.0</v>
      </c>
      <c r="K45" s="31">
        <v>0.0</v>
      </c>
      <c r="L45" s="31">
        <v>0.0</v>
      </c>
      <c r="M45" s="31">
        <v>0.0</v>
      </c>
      <c r="N45" s="20">
        <f t="shared" si="19"/>
        <v>225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4.25" customHeight="1">
      <c r="A46" s="40" t="s">
        <v>41</v>
      </c>
      <c r="B46" s="31">
        <v>0.0</v>
      </c>
      <c r="C46" s="31">
        <v>0.0</v>
      </c>
      <c r="D46" s="31">
        <v>0.0</v>
      </c>
      <c r="E46" s="31">
        <v>0.0</v>
      </c>
      <c r="F46" s="31">
        <v>0.0</v>
      </c>
      <c r="G46" s="31">
        <v>0.0</v>
      </c>
      <c r="H46" s="31">
        <v>150.0</v>
      </c>
      <c r="I46" s="31">
        <v>0.0</v>
      </c>
      <c r="J46" s="31">
        <v>0.0</v>
      </c>
      <c r="K46" s="31">
        <v>0.0</v>
      </c>
      <c r="L46" s="31">
        <v>0.0</v>
      </c>
      <c r="M46" s="31">
        <v>0.0</v>
      </c>
      <c r="N46" s="20">
        <f t="shared" si="19"/>
        <v>150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4.25" customHeight="1">
      <c r="A47" s="33" t="s">
        <v>42</v>
      </c>
      <c r="B47" s="26">
        <f t="shared" ref="B47:M47" si="25">SUM(B42:B46)</f>
        <v>1100</v>
      </c>
      <c r="C47" s="26">
        <f t="shared" si="25"/>
        <v>1100</v>
      </c>
      <c r="D47" s="26">
        <f t="shared" si="25"/>
        <v>1100</v>
      </c>
      <c r="E47" s="26">
        <f t="shared" si="25"/>
        <v>1100</v>
      </c>
      <c r="F47" s="26">
        <f t="shared" si="25"/>
        <v>1100</v>
      </c>
      <c r="G47" s="26">
        <f t="shared" si="25"/>
        <v>1100</v>
      </c>
      <c r="H47" s="26">
        <f t="shared" si="25"/>
        <v>1400</v>
      </c>
      <c r="I47" s="26">
        <f t="shared" si="25"/>
        <v>1175</v>
      </c>
      <c r="J47" s="26">
        <f t="shared" si="25"/>
        <v>1100</v>
      </c>
      <c r="K47" s="26">
        <f t="shared" si="25"/>
        <v>1100</v>
      </c>
      <c r="L47" s="26">
        <f t="shared" si="25"/>
        <v>1100</v>
      </c>
      <c r="M47" s="26">
        <f t="shared" si="25"/>
        <v>1100</v>
      </c>
      <c r="N47" s="26">
        <f t="shared" si="19"/>
        <v>13575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4.25" customHeight="1">
      <c r="A48" s="33" t="s">
        <v>43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4.25" customHeight="1">
      <c r="A49" s="39" t="s">
        <v>44</v>
      </c>
      <c r="B49" s="20">
        <f t="shared" ref="B49:M49" si="26">B24*0.4</f>
        <v>0</v>
      </c>
      <c r="C49" s="20">
        <f t="shared" si="26"/>
        <v>0</v>
      </c>
      <c r="D49" s="20">
        <f t="shared" si="26"/>
        <v>0</v>
      </c>
      <c r="E49" s="20">
        <f t="shared" si="26"/>
        <v>0</v>
      </c>
      <c r="F49" s="20">
        <f t="shared" si="26"/>
        <v>0</v>
      </c>
      <c r="G49" s="20">
        <f t="shared" si="26"/>
        <v>0</v>
      </c>
      <c r="H49" s="20">
        <f t="shared" si="26"/>
        <v>0</v>
      </c>
      <c r="I49" s="20">
        <f t="shared" si="26"/>
        <v>0</v>
      </c>
      <c r="J49" s="20">
        <f t="shared" si="26"/>
        <v>0</v>
      </c>
      <c r="K49" s="20">
        <f t="shared" si="26"/>
        <v>0</v>
      </c>
      <c r="L49" s="20">
        <f t="shared" si="26"/>
        <v>0</v>
      </c>
      <c r="M49" s="20">
        <f t="shared" si="26"/>
        <v>0</v>
      </c>
      <c r="N49" s="20">
        <f t="shared" ref="N49:N51" si="27">(((((((((((B49)+(C49))+(D49))+(E49))+(F49))+(G49))+(H49))+(I49))+(J49))+(K49))+(L49))+(M49)</f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4.25" customHeight="1">
      <c r="A50" s="39" t="s">
        <v>45</v>
      </c>
      <c r="B50" s="20">
        <v>50.0</v>
      </c>
      <c r="C50" s="20">
        <v>50.0</v>
      </c>
      <c r="D50" s="20">
        <v>50.0</v>
      </c>
      <c r="E50" s="20">
        <v>50.0</v>
      </c>
      <c r="F50" s="20">
        <v>50.0</v>
      </c>
      <c r="G50" s="20">
        <v>50.0</v>
      </c>
      <c r="H50" s="20">
        <v>50.0</v>
      </c>
      <c r="I50" s="20">
        <v>50.0</v>
      </c>
      <c r="J50" s="20">
        <v>50.0</v>
      </c>
      <c r="K50" s="20">
        <v>50.0</v>
      </c>
      <c r="L50" s="20">
        <v>50.0</v>
      </c>
      <c r="M50" s="20">
        <v>50.0</v>
      </c>
      <c r="N50" s="20">
        <f t="shared" si="27"/>
        <v>600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4.25" customHeight="1">
      <c r="A51" s="39" t="s">
        <v>46</v>
      </c>
      <c r="B51" s="20">
        <v>50.0</v>
      </c>
      <c r="C51" s="20">
        <v>50.0</v>
      </c>
      <c r="D51" s="20">
        <v>50.0</v>
      </c>
      <c r="E51" s="20">
        <v>50.0</v>
      </c>
      <c r="F51" s="20">
        <v>50.0</v>
      </c>
      <c r="G51" s="20">
        <v>50.0</v>
      </c>
      <c r="H51" s="20">
        <v>50.0</v>
      </c>
      <c r="I51" s="20">
        <v>50.0</v>
      </c>
      <c r="J51" s="20">
        <v>50.0</v>
      </c>
      <c r="K51" s="20">
        <v>50.0</v>
      </c>
      <c r="L51" s="20">
        <v>50.0</v>
      </c>
      <c r="M51" s="20">
        <v>50.0</v>
      </c>
      <c r="N51" s="20">
        <f t="shared" si="27"/>
        <v>600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4.25" customHeight="1">
      <c r="A52" s="40" t="s">
        <v>47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4.25" customHeight="1">
      <c r="A53" s="39" t="s">
        <v>45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4.25" customHeight="1">
      <c r="A54" s="39" t="s">
        <v>46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4.25" customHeight="1">
      <c r="A55" s="33" t="s">
        <v>48</v>
      </c>
      <c r="B55" s="26">
        <f t="shared" ref="B55:M55" si="28">SUM(B49:B54)</f>
        <v>100</v>
      </c>
      <c r="C55" s="26">
        <f t="shared" si="28"/>
        <v>100</v>
      </c>
      <c r="D55" s="26">
        <f t="shared" si="28"/>
        <v>100</v>
      </c>
      <c r="E55" s="26">
        <f t="shared" si="28"/>
        <v>100</v>
      </c>
      <c r="F55" s="26">
        <f t="shared" si="28"/>
        <v>100</v>
      </c>
      <c r="G55" s="26">
        <f t="shared" si="28"/>
        <v>100</v>
      </c>
      <c r="H55" s="26">
        <f t="shared" si="28"/>
        <v>100</v>
      </c>
      <c r="I55" s="26">
        <f t="shared" si="28"/>
        <v>100</v>
      </c>
      <c r="J55" s="26">
        <f t="shared" si="28"/>
        <v>100</v>
      </c>
      <c r="K55" s="26">
        <f t="shared" si="28"/>
        <v>100</v>
      </c>
      <c r="L55" s="26">
        <f t="shared" si="28"/>
        <v>100</v>
      </c>
      <c r="M55" s="26">
        <f t="shared" si="28"/>
        <v>100</v>
      </c>
      <c r="N55" s="26">
        <f>(((((((((((B55)+(C55))+(D55))+(E55))+(F55))+(G55))+(H55))+(I55))+(J55))+(K55))+(L55))+(M55)</f>
        <v>1200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4.25" customHeight="1">
      <c r="A56" s="33" t="s">
        <v>49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4.25" customHeight="1">
      <c r="A57" s="39" t="s">
        <v>50</v>
      </c>
      <c r="B57" s="31">
        <v>300.0</v>
      </c>
      <c r="C57" s="31">
        <v>300.0</v>
      </c>
      <c r="D57" s="31">
        <v>300.0</v>
      </c>
      <c r="E57" s="31">
        <v>300.0</v>
      </c>
      <c r="F57" s="31">
        <v>300.0</v>
      </c>
      <c r="G57" s="31">
        <v>300.0</v>
      </c>
      <c r="H57" s="31">
        <v>300.0</v>
      </c>
      <c r="I57" s="31">
        <v>300.0</v>
      </c>
      <c r="J57" s="31">
        <v>300.0</v>
      </c>
      <c r="K57" s="31">
        <v>300.0</v>
      </c>
      <c r="L57" s="31">
        <v>300.0</v>
      </c>
      <c r="M57" s="31">
        <v>300.0</v>
      </c>
      <c r="N57" s="20">
        <f t="shared" ref="N57:N58" si="29">(((((((((((B57)+(C57))+(D57))+(E57))+(F57))+(G57))+(H57))+(I57))+(J57))+(K57))+(L57))+(M57)</f>
        <v>3600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4.25" customHeight="1">
      <c r="A58" s="39" t="s">
        <v>51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20">
        <f t="shared" si="29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4.25" customHeight="1">
      <c r="A59" s="39" t="s">
        <v>52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4.25" customHeight="1">
      <c r="A60" s="39" t="s">
        <v>53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4.25" customHeight="1">
      <c r="A61" s="39" t="s">
        <v>54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4.25" customHeight="1">
      <c r="A62" s="39" t="s">
        <v>55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4.25" customHeight="1">
      <c r="A63" s="39" t="s">
        <v>56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>
        <f t="shared" ref="N63:N64" si="30">(((((((((((B63)+(C63))+(D63))+(E63))+(F63))+(G63))+(H63))+(I63))+(J63))+(K63))+(L63))+(M63)</f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4.25" customHeight="1">
      <c r="A64" s="39" t="s">
        <v>57</v>
      </c>
      <c r="B64" s="31">
        <v>300.0</v>
      </c>
      <c r="C64" s="31">
        <v>300.0</v>
      </c>
      <c r="D64" s="31">
        <v>300.0</v>
      </c>
      <c r="E64" s="31">
        <v>300.0</v>
      </c>
      <c r="F64" s="31">
        <v>300.0</v>
      </c>
      <c r="G64" s="31">
        <v>300.0</v>
      </c>
      <c r="H64" s="31">
        <v>300.0</v>
      </c>
      <c r="I64" s="31">
        <v>300.0</v>
      </c>
      <c r="J64" s="31">
        <v>300.0</v>
      </c>
      <c r="K64" s="31">
        <v>300.0</v>
      </c>
      <c r="L64" s="31">
        <v>300.0</v>
      </c>
      <c r="M64" s="31">
        <v>300.0</v>
      </c>
      <c r="N64" s="20">
        <f t="shared" si="30"/>
        <v>3600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4.25" customHeight="1">
      <c r="A65" s="39" t="s">
        <v>58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18"/>
      <c r="N65" s="18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4.25" customHeight="1">
      <c r="A66" s="33" t="s">
        <v>59</v>
      </c>
      <c r="B66" s="26">
        <f t="shared" ref="B66:M66" si="31">SUM(B57:B65)</f>
        <v>600</v>
      </c>
      <c r="C66" s="26">
        <f t="shared" si="31"/>
        <v>600</v>
      </c>
      <c r="D66" s="26">
        <f t="shared" si="31"/>
        <v>600</v>
      </c>
      <c r="E66" s="26">
        <f t="shared" si="31"/>
        <v>600</v>
      </c>
      <c r="F66" s="26">
        <f t="shared" si="31"/>
        <v>600</v>
      </c>
      <c r="G66" s="26">
        <f t="shared" si="31"/>
        <v>600</v>
      </c>
      <c r="H66" s="26">
        <f t="shared" si="31"/>
        <v>600</v>
      </c>
      <c r="I66" s="26">
        <f t="shared" si="31"/>
        <v>600</v>
      </c>
      <c r="J66" s="26">
        <f t="shared" si="31"/>
        <v>600</v>
      </c>
      <c r="K66" s="26">
        <f t="shared" si="31"/>
        <v>600</v>
      </c>
      <c r="L66" s="26">
        <f t="shared" si="31"/>
        <v>600</v>
      </c>
      <c r="M66" s="26">
        <f t="shared" si="31"/>
        <v>600</v>
      </c>
      <c r="N66" s="26">
        <f>(((((((((((B66)+(C66))+(D66))+(E66))+(F66))+(G66))+(H66))+(I66))+(J66))+(K66))+(L66))+(M66)</f>
        <v>7200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4.25" customHeight="1">
      <c r="A67" s="33" t="s">
        <v>60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4.25" customHeight="1">
      <c r="A68" s="39" t="s">
        <v>61</v>
      </c>
      <c r="B68" s="20">
        <v>0.0</v>
      </c>
      <c r="C68" s="20">
        <f t="shared" ref="C68:M68" si="32">B68</f>
        <v>0</v>
      </c>
      <c r="D68" s="20">
        <f t="shared" si="32"/>
        <v>0</v>
      </c>
      <c r="E68" s="20">
        <f t="shared" si="32"/>
        <v>0</v>
      </c>
      <c r="F68" s="20">
        <f t="shared" si="32"/>
        <v>0</v>
      </c>
      <c r="G68" s="20">
        <f t="shared" si="32"/>
        <v>0</v>
      </c>
      <c r="H68" s="20">
        <f t="shared" si="32"/>
        <v>0</v>
      </c>
      <c r="I68" s="20">
        <f t="shared" si="32"/>
        <v>0</v>
      </c>
      <c r="J68" s="20">
        <f t="shared" si="32"/>
        <v>0</v>
      </c>
      <c r="K68" s="20">
        <f t="shared" si="32"/>
        <v>0</v>
      </c>
      <c r="L68" s="20">
        <f t="shared" si="32"/>
        <v>0</v>
      </c>
      <c r="M68" s="20">
        <f t="shared" si="32"/>
        <v>0</v>
      </c>
      <c r="N68" s="20">
        <f>(((((((((((B68)+(C68))+(D68))+(E68))+(F68))+(G68))+(H68))+(I68))+(J68))+(K68))+(L68))+(M68)</f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4.25" customHeight="1">
      <c r="A69" s="39" t="s">
        <v>62</v>
      </c>
      <c r="B69" s="20">
        <f t="shared" ref="B69:M69" si="33">B31*0.027</f>
        <v>229.4777555</v>
      </c>
      <c r="C69" s="20">
        <f t="shared" si="33"/>
        <v>223.1555051</v>
      </c>
      <c r="D69" s="20">
        <f t="shared" si="33"/>
        <v>217.2758122</v>
      </c>
      <c r="E69" s="20">
        <f t="shared" si="33"/>
        <v>219.3062262</v>
      </c>
      <c r="F69" s="20">
        <f t="shared" si="33"/>
        <v>220.1901111</v>
      </c>
      <c r="G69" s="20">
        <f t="shared" si="33"/>
        <v>221.0121242</v>
      </c>
      <c r="H69" s="20">
        <f t="shared" si="33"/>
        <v>233.0243888</v>
      </c>
      <c r="I69" s="20">
        <f t="shared" si="33"/>
        <v>242.6891948</v>
      </c>
      <c r="J69" s="20">
        <f t="shared" si="33"/>
        <v>240.429672</v>
      </c>
      <c r="K69" s="20">
        <f t="shared" si="33"/>
        <v>239.8349158</v>
      </c>
      <c r="L69" s="20">
        <f t="shared" si="33"/>
        <v>239.2817925</v>
      </c>
      <c r="M69" s="20">
        <f t="shared" si="33"/>
        <v>238.7673878</v>
      </c>
      <c r="N69" s="20">
        <f>N31*0.02</f>
        <v>2047.736953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4.25" customHeight="1">
      <c r="A70" s="33" t="s">
        <v>63</v>
      </c>
      <c r="B70" s="26">
        <f t="shared" ref="B70:M70" si="34">SUM(B68:B69)</f>
        <v>229.4777555</v>
      </c>
      <c r="C70" s="26">
        <f t="shared" si="34"/>
        <v>223.1555051</v>
      </c>
      <c r="D70" s="26">
        <f t="shared" si="34"/>
        <v>217.2758122</v>
      </c>
      <c r="E70" s="26">
        <f t="shared" si="34"/>
        <v>219.3062262</v>
      </c>
      <c r="F70" s="26">
        <f t="shared" si="34"/>
        <v>220.1901111</v>
      </c>
      <c r="G70" s="26">
        <f t="shared" si="34"/>
        <v>221.0121242</v>
      </c>
      <c r="H70" s="26">
        <f t="shared" si="34"/>
        <v>233.0243888</v>
      </c>
      <c r="I70" s="26">
        <f t="shared" si="34"/>
        <v>242.6891948</v>
      </c>
      <c r="J70" s="26">
        <f t="shared" si="34"/>
        <v>240.429672</v>
      </c>
      <c r="K70" s="26">
        <f t="shared" si="34"/>
        <v>239.8349158</v>
      </c>
      <c r="L70" s="26">
        <f t="shared" si="34"/>
        <v>239.2817925</v>
      </c>
      <c r="M70" s="26">
        <f t="shared" si="34"/>
        <v>238.7673878</v>
      </c>
      <c r="N70" s="26">
        <f>(((((((((((B70)+(C70))+(D70))+(E70))+(F70))+(G70))+(H70))+(I70))+(J70))+(K70))+(L70))+(M70)</f>
        <v>2764.444886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4.25" customHeight="1">
      <c r="A71" s="33" t="s">
        <v>64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4.25" customHeight="1">
      <c r="A72" s="39" t="s">
        <v>65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>
        <f t="shared" ref="N72:N77" si="35">(((((((((((B72)+(C72))+(D72))+(E72))+(F72))+(G72))+(H72))+(I72))+(J72))+(K72))+(L72))+(M72)</f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4.25" customHeight="1">
      <c r="A73" s="40" t="s">
        <v>66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>
        <f t="shared" si="35"/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4.25" customHeight="1">
      <c r="A74" s="39" t="s">
        <v>67</v>
      </c>
      <c r="B74" s="20">
        <v>80.0</v>
      </c>
      <c r="C74" s="20">
        <v>80.0</v>
      </c>
      <c r="D74" s="20">
        <v>80.0</v>
      </c>
      <c r="E74" s="20">
        <v>80.0</v>
      </c>
      <c r="F74" s="20">
        <v>80.0</v>
      </c>
      <c r="G74" s="20">
        <v>80.0</v>
      </c>
      <c r="H74" s="20">
        <v>80.0</v>
      </c>
      <c r="I74" s="20">
        <v>80.0</v>
      </c>
      <c r="J74" s="20">
        <v>80.0</v>
      </c>
      <c r="K74" s="20">
        <v>80.0</v>
      </c>
      <c r="L74" s="20">
        <v>80.0</v>
      </c>
      <c r="M74" s="20">
        <v>80.0</v>
      </c>
      <c r="N74" s="20">
        <f t="shared" si="35"/>
        <v>960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4.25" customHeight="1">
      <c r="A75" s="39" t="s">
        <v>68</v>
      </c>
      <c r="B75" s="20">
        <v>63.0</v>
      </c>
      <c r="C75" s="20">
        <v>63.0</v>
      </c>
      <c r="D75" s="20">
        <v>63.0</v>
      </c>
      <c r="E75" s="20">
        <v>63.0</v>
      </c>
      <c r="F75" s="20">
        <v>63.0</v>
      </c>
      <c r="G75" s="20">
        <v>63.0</v>
      </c>
      <c r="H75" s="20">
        <v>63.0</v>
      </c>
      <c r="I75" s="20">
        <v>63.0</v>
      </c>
      <c r="J75" s="20">
        <v>63.0</v>
      </c>
      <c r="K75" s="20">
        <v>63.0</v>
      </c>
      <c r="L75" s="20">
        <v>63.0</v>
      </c>
      <c r="M75" s="20">
        <v>63.0</v>
      </c>
      <c r="N75" s="20">
        <f t="shared" si="35"/>
        <v>756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4.25" customHeight="1">
      <c r="A76" s="39" t="s">
        <v>69</v>
      </c>
      <c r="B76" s="31">
        <v>95.0</v>
      </c>
      <c r="C76" s="20">
        <f t="shared" ref="C76:M76" si="36">B76</f>
        <v>95</v>
      </c>
      <c r="D76" s="20">
        <f t="shared" si="36"/>
        <v>95</v>
      </c>
      <c r="E76" s="20">
        <f t="shared" si="36"/>
        <v>95</v>
      </c>
      <c r="F76" s="20">
        <f t="shared" si="36"/>
        <v>95</v>
      </c>
      <c r="G76" s="20">
        <f t="shared" si="36"/>
        <v>95</v>
      </c>
      <c r="H76" s="20">
        <f t="shared" si="36"/>
        <v>95</v>
      </c>
      <c r="I76" s="20">
        <f t="shared" si="36"/>
        <v>95</v>
      </c>
      <c r="J76" s="20">
        <f t="shared" si="36"/>
        <v>95</v>
      </c>
      <c r="K76" s="20">
        <f t="shared" si="36"/>
        <v>95</v>
      </c>
      <c r="L76" s="20">
        <f t="shared" si="36"/>
        <v>95</v>
      </c>
      <c r="M76" s="20">
        <f t="shared" si="36"/>
        <v>95</v>
      </c>
      <c r="N76" s="20">
        <f t="shared" si="35"/>
        <v>1140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4.25" customHeight="1">
      <c r="A77" s="33" t="s">
        <v>70</v>
      </c>
      <c r="B77" s="26">
        <f t="shared" ref="B77:M77" si="37">SUM(B72:B76)</f>
        <v>238</v>
      </c>
      <c r="C77" s="26">
        <f t="shared" si="37"/>
        <v>238</v>
      </c>
      <c r="D77" s="26">
        <f t="shared" si="37"/>
        <v>238</v>
      </c>
      <c r="E77" s="26">
        <f t="shared" si="37"/>
        <v>238</v>
      </c>
      <c r="F77" s="26">
        <f t="shared" si="37"/>
        <v>238</v>
      </c>
      <c r="G77" s="26">
        <f t="shared" si="37"/>
        <v>238</v>
      </c>
      <c r="H77" s="26">
        <f t="shared" si="37"/>
        <v>238</v>
      </c>
      <c r="I77" s="26">
        <f t="shared" si="37"/>
        <v>238</v>
      </c>
      <c r="J77" s="26">
        <f t="shared" si="37"/>
        <v>238</v>
      </c>
      <c r="K77" s="26">
        <f t="shared" si="37"/>
        <v>238</v>
      </c>
      <c r="L77" s="26">
        <f t="shared" si="37"/>
        <v>238</v>
      </c>
      <c r="M77" s="26">
        <f t="shared" si="37"/>
        <v>238</v>
      </c>
      <c r="N77" s="26">
        <f t="shared" si="35"/>
        <v>2856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4.25" customHeight="1">
      <c r="A78" s="27" t="s">
        <v>71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4.25" customHeight="1">
      <c r="A79" s="39" t="s">
        <v>72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20">
        <f t="shared" ref="N79:N86" si="38">(((((((((((B79)+(C79))+(D79))+(E79))+(F79))+(G79))+(H79))+(I79))+(J79))+(K79))+(L79))+(M79)</f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4.25" customHeight="1">
      <c r="A80" s="39" t="s">
        <v>73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20">
        <f t="shared" si="38"/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4.25" customHeight="1">
      <c r="A81" s="39" t="s">
        <v>74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20">
        <f t="shared" si="38"/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4.25" customHeight="1">
      <c r="A82" s="39" t="s">
        <v>75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20">
        <f t="shared" si="38"/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4.25" customHeight="1">
      <c r="A83" s="39" t="s">
        <v>76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0">
        <f t="shared" si="38"/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4.25" customHeight="1">
      <c r="A84" s="39" t="s">
        <v>77</v>
      </c>
      <c r="B84" s="31">
        <v>600.0</v>
      </c>
      <c r="C84" s="20">
        <f t="shared" ref="C84:M84" si="39">B84</f>
        <v>600</v>
      </c>
      <c r="D84" s="20">
        <f t="shared" si="39"/>
        <v>600</v>
      </c>
      <c r="E84" s="20">
        <f t="shared" si="39"/>
        <v>600</v>
      </c>
      <c r="F84" s="20">
        <f t="shared" si="39"/>
        <v>600</v>
      </c>
      <c r="G84" s="20">
        <f t="shared" si="39"/>
        <v>600</v>
      </c>
      <c r="H84" s="20">
        <f t="shared" si="39"/>
        <v>600</v>
      </c>
      <c r="I84" s="20">
        <f t="shared" si="39"/>
        <v>600</v>
      </c>
      <c r="J84" s="20">
        <f t="shared" si="39"/>
        <v>600</v>
      </c>
      <c r="K84" s="20">
        <f t="shared" si="39"/>
        <v>600</v>
      </c>
      <c r="L84" s="20">
        <f t="shared" si="39"/>
        <v>600</v>
      </c>
      <c r="M84" s="20">
        <f t="shared" si="39"/>
        <v>600</v>
      </c>
      <c r="N84" s="20">
        <f t="shared" si="38"/>
        <v>7200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4.25" customHeight="1">
      <c r="A85" s="39" t="s">
        <v>78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0">
        <f t="shared" si="38"/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4.25" customHeight="1">
      <c r="A86" s="33" t="s">
        <v>79</v>
      </c>
      <c r="B86" s="26">
        <f t="shared" ref="B86:M86" si="40">SUM(B79:B85)</f>
        <v>600</v>
      </c>
      <c r="C86" s="26">
        <f t="shared" si="40"/>
        <v>600</v>
      </c>
      <c r="D86" s="26">
        <f t="shared" si="40"/>
        <v>600</v>
      </c>
      <c r="E86" s="26">
        <f t="shared" si="40"/>
        <v>600</v>
      </c>
      <c r="F86" s="26">
        <f t="shared" si="40"/>
        <v>600</v>
      </c>
      <c r="G86" s="26">
        <f t="shared" si="40"/>
        <v>600</v>
      </c>
      <c r="H86" s="26">
        <f t="shared" si="40"/>
        <v>600</v>
      </c>
      <c r="I86" s="26">
        <f t="shared" si="40"/>
        <v>600</v>
      </c>
      <c r="J86" s="26">
        <f t="shared" si="40"/>
        <v>600</v>
      </c>
      <c r="K86" s="26">
        <f t="shared" si="40"/>
        <v>600</v>
      </c>
      <c r="L86" s="26">
        <f t="shared" si="40"/>
        <v>600</v>
      </c>
      <c r="M86" s="26">
        <f t="shared" si="40"/>
        <v>600</v>
      </c>
      <c r="N86" s="26">
        <f t="shared" si="38"/>
        <v>7200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4.25" customHeight="1">
      <c r="A87" s="33" t="s">
        <v>80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4.25" customHeight="1">
      <c r="A88" s="39" t="s">
        <v>81</v>
      </c>
      <c r="B88" s="31">
        <v>1453.43</v>
      </c>
      <c r="C88" s="31">
        <v>1453.43</v>
      </c>
      <c r="D88" s="31">
        <v>1453.43</v>
      </c>
      <c r="E88" s="31">
        <v>1453.43</v>
      </c>
      <c r="F88" s="31">
        <v>1453.43</v>
      </c>
      <c r="G88" s="31">
        <v>1453.43</v>
      </c>
      <c r="H88" s="31">
        <v>1453.43</v>
      </c>
      <c r="I88" s="31">
        <v>1453.43</v>
      </c>
      <c r="J88" s="31">
        <v>1453.43</v>
      </c>
      <c r="K88" s="31">
        <v>1453.43</v>
      </c>
      <c r="L88" s="31">
        <v>1453.43</v>
      </c>
      <c r="M88" s="31">
        <v>1453.43</v>
      </c>
      <c r="N88" s="20">
        <f t="shared" ref="N88:N90" si="42">(((((((((((B88)+(C88))+(D88))+(E88))+(F88))+(G88))+(H88))+(I88))+(J88))+(K88))+(L88))+(M88)</f>
        <v>17441.16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4.25" customHeight="1">
      <c r="A89" s="39" t="s">
        <v>82</v>
      </c>
      <c r="B89" s="20">
        <f t="shared" ref="B89:M89" si="41">3728.73/2</f>
        <v>1864.365</v>
      </c>
      <c r="C89" s="20">
        <f t="shared" si="41"/>
        <v>1864.365</v>
      </c>
      <c r="D89" s="20">
        <f t="shared" si="41"/>
        <v>1864.365</v>
      </c>
      <c r="E89" s="20">
        <f t="shared" si="41"/>
        <v>1864.365</v>
      </c>
      <c r="F89" s="20">
        <f t="shared" si="41"/>
        <v>1864.365</v>
      </c>
      <c r="G89" s="20">
        <f t="shared" si="41"/>
        <v>1864.365</v>
      </c>
      <c r="H89" s="20">
        <f t="shared" si="41"/>
        <v>1864.365</v>
      </c>
      <c r="I89" s="20">
        <f t="shared" si="41"/>
        <v>1864.365</v>
      </c>
      <c r="J89" s="20">
        <f t="shared" si="41"/>
        <v>1864.365</v>
      </c>
      <c r="K89" s="20">
        <f t="shared" si="41"/>
        <v>1864.365</v>
      </c>
      <c r="L89" s="20">
        <f t="shared" si="41"/>
        <v>1864.365</v>
      </c>
      <c r="M89" s="20">
        <f t="shared" si="41"/>
        <v>1864.365</v>
      </c>
      <c r="N89" s="20">
        <f t="shared" si="42"/>
        <v>22372.38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4.25" customHeight="1">
      <c r="A90" s="33" t="s">
        <v>83</v>
      </c>
      <c r="B90" s="26">
        <f t="shared" ref="B90:M90" si="43">SUM(B88:B89)</f>
        <v>3317.795</v>
      </c>
      <c r="C90" s="26">
        <f t="shared" si="43"/>
        <v>3317.795</v>
      </c>
      <c r="D90" s="26">
        <f t="shared" si="43"/>
        <v>3317.795</v>
      </c>
      <c r="E90" s="26">
        <f t="shared" si="43"/>
        <v>3317.795</v>
      </c>
      <c r="F90" s="26">
        <f t="shared" si="43"/>
        <v>3317.795</v>
      </c>
      <c r="G90" s="26">
        <f t="shared" si="43"/>
        <v>3317.795</v>
      </c>
      <c r="H90" s="26">
        <f t="shared" si="43"/>
        <v>3317.795</v>
      </c>
      <c r="I90" s="26">
        <f t="shared" si="43"/>
        <v>3317.795</v>
      </c>
      <c r="J90" s="26">
        <f t="shared" si="43"/>
        <v>3317.795</v>
      </c>
      <c r="K90" s="26">
        <f t="shared" si="43"/>
        <v>3317.795</v>
      </c>
      <c r="L90" s="26">
        <f t="shared" si="43"/>
        <v>3317.795</v>
      </c>
      <c r="M90" s="26">
        <f t="shared" si="43"/>
        <v>3317.795</v>
      </c>
      <c r="N90" s="26">
        <f t="shared" si="42"/>
        <v>39813.54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4.25" customHeight="1">
      <c r="A91" s="33" t="s">
        <v>84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4.25" customHeight="1">
      <c r="A92" s="39" t="s">
        <v>85</v>
      </c>
      <c r="B92" s="20">
        <v>40.0</v>
      </c>
      <c r="C92" s="20">
        <v>40.0</v>
      </c>
      <c r="D92" s="20">
        <v>40.0</v>
      </c>
      <c r="E92" s="20">
        <v>40.0</v>
      </c>
      <c r="F92" s="20">
        <v>40.0</v>
      </c>
      <c r="G92" s="20">
        <v>40.0</v>
      </c>
      <c r="H92" s="20">
        <v>40.0</v>
      </c>
      <c r="I92" s="20">
        <v>40.0</v>
      </c>
      <c r="J92" s="20">
        <v>40.0</v>
      </c>
      <c r="K92" s="20">
        <v>40.0</v>
      </c>
      <c r="L92" s="20">
        <v>40.0</v>
      </c>
      <c r="M92" s="20">
        <v>40.0</v>
      </c>
      <c r="N92" s="20">
        <f t="shared" ref="N92:N101" si="44">(((((((((((B92)+(C92))+(D92))+(E92))+(F92))+(G92))+(H92))+(I92))+(J92))+(K92))+(L92))+(M92)</f>
        <v>480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4.25" customHeight="1">
      <c r="A93" s="39" t="s">
        <v>86</v>
      </c>
      <c r="B93" s="31">
        <v>100.0</v>
      </c>
      <c r="C93" s="31">
        <v>100.0</v>
      </c>
      <c r="D93" s="31">
        <v>100.0</v>
      </c>
      <c r="E93" s="31">
        <v>100.0</v>
      </c>
      <c r="F93" s="31">
        <v>100.0</v>
      </c>
      <c r="G93" s="31">
        <v>100.0</v>
      </c>
      <c r="H93" s="31">
        <v>100.0</v>
      </c>
      <c r="I93" s="31">
        <v>100.0</v>
      </c>
      <c r="J93" s="31">
        <v>100.0</v>
      </c>
      <c r="K93" s="31">
        <v>100.0</v>
      </c>
      <c r="L93" s="31">
        <v>100.0</v>
      </c>
      <c r="M93" s="31">
        <v>100.0</v>
      </c>
      <c r="N93" s="20">
        <f t="shared" si="44"/>
        <v>1200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4.25" customHeight="1">
      <c r="A94" s="39" t="s">
        <v>87</v>
      </c>
      <c r="B94" s="31">
        <v>175.0</v>
      </c>
      <c r="C94" s="31">
        <v>175.0</v>
      </c>
      <c r="D94" s="31">
        <v>175.0</v>
      </c>
      <c r="E94" s="31">
        <v>175.0</v>
      </c>
      <c r="F94" s="31">
        <v>175.0</v>
      </c>
      <c r="G94" s="31">
        <v>175.0</v>
      </c>
      <c r="H94" s="31">
        <v>175.0</v>
      </c>
      <c r="I94" s="31">
        <v>175.0</v>
      </c>
      <c r="J94" s="31">
        <v>175.0</v>
      </c>
      <c r="K94" s="31">
        <v>175.0</v>
      </c>
      <c r="L94" s="31">
        <v>175.0</v>
      </c>
      <c r="M94" s="31">
        <v>175.0</v>
      </c>
      <c r="N94" s="20">
        <f t="shared" si="44"/>
        <v>2100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4.25" customHeight="1">
      <c r="A95" s="39" t="s">
        <v>88</v>
      </c>
      <c r="B95" s="31">
        <v>200.0</v>
      </c>
      <c r="C95" s="31">
        <v>200.0</v>
      </c>
      <c r="D95" s="31">
        <v>200.0</v>
      </c>
      <c r="E95" s="31">
        <v>200.0</v>
      </c>
      <c r="F95" s="31">
        <v>200.0</v>
      </c>
      <c r="G95" s="31">
        <v>200.0</v>
      </c>
      <c r="H95" s="31">
        <v>200.0</v>
      </c>
      <c r="I95" s="31">
        <v>200.0</v>
      </c>
      <c r="J95" s="31">
        <v>200.0</v>
      </c>
      <c r="K95" s="31">
        <v>200.0</v>
      </c>
      <c r="L95" s="31">
        <v>200.0</v>
      </c>
      <c r="M95" s="31">
        <v>200.0</v>
      </c>
      <c r="N95" s="20">
        <f t="shared" si="44"/>
        <v>2400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4.25" customHeight="1">
      <c r="A96" s="39" t="s">
        <v>89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>
        <f t="shared" si="44"/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4.25" customHeight="1">
      <c r="A97" s="39" t="s">
        <v>90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20">
        <f t="shared" si="44"/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4.25" customHeight="1">
      <c r="A98" s="40" t="s">
        <v>91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0">
        <f t="shared" si="44"/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4.25" customHeight="1">
      <c r="A99" s="33" t="s">
        <v>92</v>
      </c>
      <c r="B99" s="26">
        <f t="shared" ref="B99:M99" si="45">SUM(B92:B98)</f>
        <v>515</v>
      </c>
      <c r="C99" s="26">
        <f t="shared" si="45"/>
        <v>515</v>
      </c>
      <c r="D99" s="26">
        <f t="shared" si="45"/>
        <v>515</v>
      </c>
      <c r="E99" s="26">
        <f t="shared" si="45"/>
        <v>515</v>
      </c>
      <c r="F99" s="26">
        <f t="shared" si="45"/>
        <v>515</v>
      </c>
      <c r="G99" s="26">
        <f t="shared" si="45"/>
        <v>515</v>
      </c>
      <c r="H99" s="26">
        <f t="shared" si="45"/>
        <v>515</v>
      </c>
      <c r="I99" s="26">
        <f t="shared" si="45"/>
        <v>515</v>
      </c>
      <c r="J99" s="26">
        <f t="shared" si="45"/>
        <v>515</v>
      </c>
      <c r="K99" s="26">
        <f t="shared" si="45"/>
        <v>515</v>
      </c>
      <c r="L99" s="26">
        <f t="shared" si="45"/>
        <v>515</v>
      </c>
      <c r="M99" s="26">
        <f t="shared" si="45"/>
        <v>515</v>
      </c>
      <c r="N99" s="26">
        <f t="shared" si="44"/>
        <v>6180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4.25" customHeight="1">
      <c r="A100" s="33" t="s">
        <v>93</v>
      </c>
      <c r="B100" s="26">
        <f t="shared" ref="B100:M100" si="46">B40+B47+B55+B66+B70+B77+B86+B90+B99</f>
        <v>7300.272755</v>
      </c>
      <c r="C100" s="26">
        <f t="shared" si="46"/>
        <v>7293.950505</v>
      </c>
      <c r="D100" s="26">
        <f t="shared" si="46"/>
        <v>7388.070812</v>
      </c>
      <c r="E100" s="26">
        <f t="shared" si="46"/>
        <v>7290.101226</v>
      </c>
      <c r="F100" s="26">
        <f t="shared" si="46"/>
        <v>7290.985111</v>
      </c>
      <c r="G100" s="26">
        <f t="shared" si="46"/>
        <v>7291.807124</v>
      </c>
      <c r="H100" s="26">
        <f t="shared" si="46"/>
        <v>7703.819389</v>
      </c>
      <c r="I100" s="26">
        <f t="shared" si="46"/>
        <v>7388.484195</v>
      </c>
      <c r="J100" s="26">
        <f t="shared" si="46"/>
        <v>7311.224672</v>
      </c>
      <c r="K100" s="26">
        <f t="shared" si="46"/>
        <v>7310.629916</v>
      </c>
      <c r="L100" s="26">
        <f t="shared" si="46"/>
        <v>7410.076792</v>
      </c>
      <c r="M100" s="26">
        <f t="shared" si="46"/>
        <v>7309.562388</v>
      </c>
      <c r="N100" s="26">
        <f t="shared" si="44"/>
        <v>88288.98489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4.25" customHeight="1">
      <c r="A101" s="33" t="s">
        <v>114</v>
      </c>
      <c r="B101" s="43">
        <f t="shared" ref="B101:M101" si="47">B31-B100</f>
        <v>1198.903373</v>
      </c>
      <c r="C101" s="43">
        <f t="shared" si="47"/>
        <v>971.0682015</v>
      </c>
      <c r="D101" s="43">
        <f t="shared" si="47"/>
        <v>659.1814918</v>
      </c>
      <c r="E101" s="43">
        <f t="shared" si="47"/>
        <v>832.3515946</v>
      </c>
      <c r="F101" s="43">
        <f t="shared" si="47"/>
        <v>864.2041903</v>
      </c>
      <c r="G101" s="43">
        <f t="shared" si="47"/>
        <v>893.8271042</v>
      </c>
      <c r="H101" s="43">
        <f t="shared" si="47"/>
        <v>926.7135286</v>
      </c>
      <c r="I101" s="43">
        <f t="shared" si="47"/>
        <v>1600.004503</v>
      </c>
      <c r="J101" s="43">
        <f t="shared" si="47"/>
        <v>1593.577995</v>
      </c>
      <c r="K101" s="43">
        <f t="shared" si="47"/>
        <v>1572.144743</v>
      </c>
      <c r="L101" s="43">
        <f t="shared" si="47"/>
        <v>1452.211818</v>
      </c>
      <c r="M101" s="43">
        <f t="shared" si="47"/>
        <v>1533.674198</v>
      </c>
      <c r="N101" s="43">
        <f t="shared" si="44"/>
        <v>14097.86274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4.25" customHeight="1">
      <c r="A102" s="34"/>
      <c r="B102" s="34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4.25" customHeight="1">
      <c r="A103" s="45" t="s">
        <v>95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4.25" customHeight="1">
      <c r="A104" s="40" t="s">
        <v>96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>
        <f t="shared" ref="N104:N109" si="48">(((((((((((B104)+(C104))+(D104))+(E104))+(F104))+(G104))+(H104))+(I104))+(J104))+(K104))+(L104))+(M104)</f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4.25" customHeight="1">
      <c r="A105" s="40" t="s">
        <v>97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20">
        <f t="shared" si="48"/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4.25" customHeight="1">
      <c r="A106" s="40" t="s">
        <v>98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20">
        <f t="shared" si="48"/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4.25" customHeight="1">
      <c r="A107" s="40" t="s">
        <v>99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20">
        <f t="shared" si="48"/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4.25" customHeight="1">
      <c r="A108" s="40" t="s">
        <v>100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>
        <f t="shared" si="48"/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4.25" customHeight="1">
      <c r="A109" s="45" t="s">
        <v>101</v>
      </c>
      <c r="B109" s="26">
        <f t="shared" ref="B109:M109" si="49">SUM(B104:B108)</f>
        <v>0</v>
      </c>
      <c r="C109" s="26">
        <f t="shared" si="49"/>
        <v>0</v>
      </c>
      <c r="D109" s="26">
        <f t="shared" si="49"/>
        <v>0</v>
      </c>
      <c r="E109" s="26">
        <f t="shared" si="49"/>
        <v>0</v>
      </c>
      <c r="F109" s="26">
        <f t="shared" si="49"/>
        <v>0</v>
      </c>
      <c r="G109" s="26">
        <f t="shared" si="49"/>
        <v>0</v>
      </c>
      <c r="H109" s="26">
        <f t="shared" si="49"/>
        <v>0</v>
      </c>
      <c r="I109" s="26">
        <f t="shared" si="49"/>
        <v>0</v>
      </c>
      <c r="J109" s="26">
        <f t="shared" si="49"/>
        <v>0</v>
      </c>
      <c r="K109" s="26">
        <f t="shared" si="49"/>
        <v>0</v>
      </c>
      <c r="L109" s="26">
        <f t="shared" si="49"/>
        <v>0</v>
      </c>
      <c r="M109" s="26">
        <f t="shared" si="49"/>
        <v>0</v>
      </c>
      <c r="N109" s="26">
        <f t="shared" si="48"/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4.25" customHeight="1">
      <c r="A110" s="45" t="s">
        <v>102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4.25" customHeight="1">
      <c r="A111" s="40" t="s">
        <v>103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>
        <f t="shared" ref="N111:N113" si="50">(((((((((((B111)+(C111))+(D111))+(E111))+(F111))+(G111))+(H111))+(I111))+(J111))+(K111))+(L111))+(M111)</f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4.25" customHeight="1">
      <c r="A112" s="40" t="s">
        <v>104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20">
        <f t="shared" si="50"/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4.25" customHeight="1">
      <c r="A113" s="45" t="s">
        <v>105</v>
      </c>
      <c r="B113" s="26">
        <f t="shared" ref="B113:M113" si="51">SUM(B111:B112)</f>
        <v>0</v>
      </c>
      <c r="C113" s="26">
        <f t="shared" si="51"/>
        <v>0</v>
      </c>
      <c r="D113" s="26">
        <f t="shared" si="51"/>
        <v>0</v>
      </c>
      <c r="E113" s="26">
        <f t="shared" si="51"/>
        <v>0</v>
      </c>
      <c r="F113" s="26">
        <f t="shared" si="51"/>
        <v>0</v>
      </c>
      <c r="G113" s="26">
        <f t="shared" si="51"/>
        <v>0</v>
      </c>
      <c r="H113" s="26">
        <f t="shared" si="51"/>
        <v>0</v>
      </c>
      <c r="I113" s="26">
        <f t="shared" si="51"/>
        <v>0</v>
      </c>
      <c r="J113" s="26">
        <f t="shared" si="51"/>
        <v>0</v>
      </c>
      <c r="K113" s="26">
        <f t="shared" si="51"/>
        <v>0</v>
      </c>
      <c r="L113" s="26">
        <f t="shared" si="51"/>
        <v>0</v>
      </c>
      <c r="M113" s="26">
        <f t="shared" si="51"/>
        <v>0</v>
      </c>
      <c r="N113" s="26">
        <f t="shared" si="50"/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4.25" customHeight="1">
      <c r="A114" s="45" t="s">
        <v>106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4.25" customHeight="1">
      <c r="A115" s="40" t="s">
        <v>107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>
        <f t="shared" ref="N115:N120" si="52">(((((((((((B115)+(C115))+(D115))+(E115))+(F115))+(G115))+(H115))+(I115))+(J115))+(K115))+(L115))+(M115)</f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4.25" customHeight="1">
      <c r="A116" s="40" t="s">
        <v>108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20">
        <f t="shared" si="52"/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4.25" customHeight="1">
      <c r="A117" s="40" t="s">
        <v>109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20">
        <f t="shared" si="52"/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4.25" customHeight="1">
      <c r="A118" s="45" t="s">
        <v>110</v>
      </c>
      <c r="B118" s="26">
        <f t="shared" ref="B118:M118" si="53">SUM(B115:B117)</f>
        <v>0</v>
      </c>
      <c r="C118" s="26">
        <f t="shared" si="53"/>
        <v>0</v>
      </c>
      <c r="D118" s="26">
        <f t="shared" si="53"/>
        <v>0</v>
      </c>
      <c r="E118" s="26">
        <f t="shared" si="53"/>
        <v>0</v>
      </c>
      <c r="F118" s="26">
        <f t="shared" si="53"/>
        <v>0</v>
      </c>
      <c r="G118" s="26">
        <f t="shared" si="53"/>
        <v>0</v>
      </c>
      <c r="H118" s="26">
        <f t="shared" si="53"/>
        <v>0</v>
      </c>
      <c r="I118" s="26">
        <f t="shared" si="53"/>
        <v>0</v>
      </c>
      <c r="J118" s="26">
        <f t="shared" si="53"/>
        <v>0</v>
      </c>
      <c r="K118" s="26">
        <f t="shared" si="53"/>
        <v>0</v>
      </c>
      <c r="L118" s="26">
        <f t="shared" si="53"/>
        <v>0</v>
      </c>
      <c r="M118" s="26">
        <f t="shared" si="53"/>
        <v>0</v>
      </c>
      <c r="N118" s="26">
        <f t="shared" si="52"/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4.25" customHeight="1">
      <c r="A119" s="45" t="s">
        <v>111</v>
      </c>
      <c r="B119" s="26">
        <f t="shared" ref="B119:M119" si="54">B109+B113+B118</f>
        <v>0</v>
      </c>
      <c r="C119" s="26">
        <f t="shared" si="54"/>
        <v>0</v>
      </c>
      <c r="D119" s="26">
        <f t="shared" si="54"/>
        <v>0</v>
      </c>
      <c r="E119" s="26">
        <f t="shared" si="54"/>
        <v>0</v>
      </c>
      <c r="F119" s="26">
        <f t="shared" si="54"/>
        <v>0</v>
      </c>
      <c r="G119" s="26">
        <f t="shared" si="54"/>
        <v>0</v>
      </c>
      <c r="H119" s="26">
        <f t="shared" si="54"/>
        <v>0</v>
      </c>
      <c r="I119" s="26">
        <f t="shared" si="54"/>
        <v>0</v>
      </c>
      <c r="J119" s="26">
        <f t="shared" si="54"/>
        <v>0</v>
      </c>
      <c r="K119" s="26">
        <f t="shared" si="54"/>
        <v>0</v>
      </c>
      <c r="L119" s="26">
        <f t="shared" si="54"/>
        <v>0</v>
      </c>
      <c r="M119" s="26">
        <f t="shared" si="54"/>
        <v>0</v>
      </c>
      <c r="N119" s="26">
        <f t="shared" si="52"/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4.25" customHeight="1">
      <c r="A120" s="45" t="s">
        <v>112</v>
      </c>
      <c r="B120" s="43">
        <f t="shared" ref="B120:M120" si="55">B101-B119</f>
        <v>1198.903373</v>
      </c>
      <c r="C120" s="43">
        <f t="shared" si="55"/>
        <v>971.0682015</v>
      </c>
      <c r="D120" s="43">
        <f t="shared" si="55"/>
        <v>659.1814918</v>
      </c>
      <c r="E120" s="43">
        <f t="shared" si="55"/>
        <v>832.3515946</v>
      </c>
      <c r="F120" s="43">
        <f t="shared" si="55"/>
        <v>864.2041903</v>
      </c>
      <c r="G120" s="43">
        <f t="shared" si="55"/>
        <v>893.8271042</v>
      </c>
      <c r="H120" s="43">
        <f t="shared" si="55"/>
        <v>926.7135286</v>
      </c>
      <c r="I120" s="43">
        <f t="shared" si="55"/>
        <v>1600.004503</v>
      </c>
      <c r="J120" s="43">
        <f t="shared" si="55"/>
        <v>1593.577995</v>
      </c>
      <c r="K120" s="43">
        <f t="shared" si="55"/>
        <v>1572.144743</v>
      </c>
      <c r="L120" s="43">
        <f t="shared" si="55"/>
        <v>1452.211818</v>
      </c>
      <c r="M120" s="43">
        <f t="shared" si="55"/>
        <v>1533.674198</v>
      </c>
      <c r="N120" s="43">
        <f t="shared" si="52"/>
        <v>14097.86274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4.25" customHeight="1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4.25" customHeight="1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4.25" customHeight="1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</row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B1:M1"/>
    <mergeCell ref="B2:M2"/>
    <mergeCell ref="B3:M3"/>
    <mergeCell ref="A11:C11"/>
    <mergeCell ref="A33:C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5.43"/>
    <col customWidth="1" min="3" max="3" width="12.0"/>
    <col customWidth="1" min="4" max="9" width="11.29"/>
    <col customWidth="1" min="10" max="10" width="11.43"/>
    <col customWidth="1" min="11" max="13" width="11.29"/>
    <col customWidth="1" min="14" max="14" width="14.71"/>
    <col customWidth="1" min="15" max="17" width="8.86"/>
    <col customWidth="1" min="18" max="18" width="7.57"/>
    <col customWidth="1" min="19" max="28" width="8.71"/>
  </cols>
  <sheetData>
    <row r="1">
      <c r="A1" s="1"/>
      <c r="B1" s="2" t="s">
        <v>115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" t="s">
        <v>1</v>
      </c>
      <c r="N2" s="1"/>
      <c r="O2" s="5"/>
      <c r="P2" s="5"/>
      <c r="Q2" s="4"/>
      <c r="R2" s="5"/>
      <c r="S2" s="4"/>
      <c r="T2" s="5"/>
      <c r="U2" s="5"/>
      <c r="V2" s="1"/>
      <c r="W2" s="1"/>
      <c r="X2" s="1"/>
      <c r="Y2" s="1"/>
      <c r="Z2" s="1"/>
      <c r="AA2" s="1"/>
      <c r="AB2" s="1"/>
    </row>
    <row r="3" ht="14.25" customHeight="1">
      <c r="A3" s="1"/>
      <c r="B3" s="6" t="s">
        <v>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4.25" customHeight="1">
      <c r="A4" s="1"/>
      <c r="B4" s="7"/>
      <c r="C4" s="7"/>
      <c r="D4" s="7"/>
      <c r="E4" s="7"/>
      <c r="F4" s="8"/>
      <c r="G4" s="7"/>
      <c r="H4" s="7"/>
      <c r="I4" s="7"/>
      <c r="J4" s="7"/>
      <c r="K4" s="7"/>
      <c r="L4" s="7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4.25" customHeight="1">
      <c r="A5" s="1"/>
      <c r="B5" s="9">
        <v>46023.0</v>
      </c>
      <c r="C5" s="9">
        <v>46054.0</v>
      </c>
      <c r="D5" s="9">
        <v>46082.0</v>
      </c>
      <c r="E5" s="9">
        <v>46113.0</v>
      </c>
      <c r="F5" s="9">
        <v>46143.0</v>
      </c>
      <c r="G5" s="9">
        <v>46174.0</v>
      </c>
      <c r="H5" s="9">
        <v>46204.0</v>
      </c>
      <c r="I5" s="9">
        <v>46235.0</v>
      </c>
      <c r="J5" s="9">
        <v>46266.0</v>
      </c>
      <c r="K5" s="9">
        <v>46296.0</v>
      </c>
      <c r="L5" s="9">
        <v>46327.0</v>
      </c>
      <c r="M5" s="9">
        <v>46357.0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4.25" customHeight="1">
      <c r="A6" s="10" t="s">
        <v>3</v>
      </c>
      <c r="B6" s="11">
        <v>5.0</v>
      </c>
      <c r="C6" s="11">
        <v>8.0</v>
      </c>
      <c r="D6" s="11">
        <v>8.0</v>
      </c>
      <c r="E6" s="11">
        <v>8.0</v>
      </c>
      <c r="F6" s="11">
        <v>10.0</v>
      </c>
      <c r="G6" s="11">
        <v>10.0</v>
      </c>
      <c r="H6" s="11">
        <v>10.0</v>
      </c>
      <c r="I6" s="11">
        <v>10.0</v>
      </c>
      <c r="J6" s="11">
        <v>7.0</v>
      </c>
      <c r="K6" s="11">
        <v>7.0</v>
      </c>
      <c r="L6" s="11">
        <v>7.0</v>
      </c>
      <c r="M6" s="11">
        <v>7.0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4.25" customHeight="1">
      <c r="A7" s="10" t="s">
        <v>4</v>
      </c>
      <c r="B7" s="48">
        <f>B8*0.06</f>
        <v>6.3</v>
      </c>
      <c r="C7" s="48">
        <f t="shared" ref="C7:L7" si="1">B8*0.07</f>
        <v>7.35</v>
      </c>
      <c r="D7" s="48">
        <f t="shared" si="1"/>
        <v>7.3955</v>
      </c>
      <c r="E7" s="48">
        <f t="shared" si="1"/>
        <v>7.437815</v>
      </c>
      <c r="F7" s="48">
        <f t="shared" si="1"/>
        <v>7.47716795</v>
      </c>
      <c r="G7" s="48">
        <f t="shared" si="1"/>
        <v>7.653766194</v>
      </c>
      <c r="H7" s="48">
        <f t="shared" si="1"/>
        <v>7.81800256</v>
      </c>
      <c r="I7" s="48">
        <f t="shared" si="1"/>
        <v>7.970742381</v>
      </c>
      <c r="J7" s="48">
        <f t="shared" si="1"/>
        <v>8.112790414</v>
      </c>
      <c r="K7" s="48">
        <f t="shared" si="1"/>
        <v>8.034895085</v>
      </c>
      <c r="L7" s="48">
        <f t="shared" si="1"/>
        <v>7.962452429</v>
      </c>
      <c r="M7" s="48">
        <f>L8*0.06</f>
        <v>6.767212079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4.25" customHeight="1">
      <c r="A8" s="10" t="s">
        <v>5</v>
      </c>
      <c r="B8" s="49">
        <v>105.0</v>
      </c>
      <c r="C8" s="50">
        <f t="shared" ref="C8:M8" si="2">B8+C6-C7</f>
        <v>105.65</v>
      </c>
      <c r="D8" s="50">
        <f t="shared" si="2"/>
        <v>106.2545</v>
      </c>
      <c r="E8" s="50">
        <f t="shared" si="2"/>
        <v>106.816685</v>
      </c>
      <c r="F8" s="50">
        <f t="shared" si="2"/>
        <v>109.3395171</v>
      </c>
      <c r="G8" s="50">
        <f t="shared" si="2"/>
        <v>111.6857509</v>
      </c>
      <c r="H8" s="50">
        <f t="shared" si="2"/>
        <v>113.8677483</v>
      </c>
      <c r="I8" s="50">
        <f t="shared" si="2"/>
        <v>115.8970059</v>
      </c>
      <c r="J8" s="50">
        <f t="shared" si="2"/>
        <v>114.7842155</v>
      </c>
      <c r="K8" s="50">
        <f t="shared" si="2"/>
        <v>113.7493204</v>
      </c>
      <c r="L8" s="50">
        <f t="shared" si="2"/>
        <v>112.786868</v>
      </c>
      <c r="M8" s="50">
        <f t="shared" si="2"/>
        <v>113.0196559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4.25" customHeight="1">
      <c r="A9" s="10" t="s">
        <v>6</v>
      </c>
      <c r="B9" s="12">
        <f t="shared" ref="B9:M9" si="3">B8/126</f>
        <v>0.8333333333</v>
      </c>
      <c r="C9" s="12">
        <f t="shared" si="3"/>
        <v>0.8384920635</v>
      </c>
      <c r="D9" s="12">
        <f t="shared" si="3"/>
        <v>0.8432896825</v>
      </c>
      <c r="E9" s="12">
        <f t="shared" si="3"/>
        <v>0.8477514683</v>
      </c>
      <c r="F9" s="12">
        <f t="shared" si="3"/>
        <v>0.8677739448</v>
      </c>
      <c r="G9" s="12">
        <f t="shared" si="3"/>
        <v>0.8863948481</v>
      </c>
      <c r="H9" s="12">
        <f t="shared" si="3"/>
        <v>0.9037122881</v>
      </c>
      <c r="I9" s="12">
        <f t="shared" si="3"/>
        <v>0.9198175073</v>
      </c>
      <c r="J9" s="12">
        <f t="shared" si="3"/>
        <v>0.9109858373</v>
      </c>
      <c r="K9" s="12">
        <f t="shared" si="3"/>
        <v>0.9027723843</v>
      </c>
      <c r="L9" s="12">
        <f t="shared" si="3"/>
        <v>0.8951338729</v>
      </c>
      <c r="M9" s="12">
        <f t="shared" si="3"/>
        <v>0.8969813961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4.25" customHeight="1">
      <c r="A10" s="1"/>
      <c r="B10" s="9">
        <v>46023.0</v>
      </c>
      <c r="C10" s="9">
        <v>46054.0</v>
      </c>
      <c r="D10" s="9">
        <v>46082.0</v>
      </c>
      <c r="E10" s="9">
        <v>46113.0</v>
      </c>
      <c r="F10" s="9">
        <v>46143.0</v>
      </c>
      <c r="G10" s="9">
        <v>46174.0</v>
      </c>
      <c r="H10" s="9">
        <v>46204.0</v>
      </c>
      <c r="I10" s="9">
        <v>46235.0</v>
      </c>
      <c r="J10" s="9">
        <v>46266.0</v>
      </c>
      <c r="K10" s="9">
        <v>46296.0</v>
      </c>
      <c r="L10" s="9">
        <v>46327.0</v>
      </c>
      <c r="M10" s="9">
        <v>46357.0</v>
      </c>
      <c r="N10" s="14" t="s">
        <v>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4.25" customHeight="1">
      <c r="A11" s="16" t="s">
        <v>10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4.25" customHeight="1">
      <c r="A12" s="19" t="s">
        <v>11</v>
      </c>
      <c r="B12" s="20">
        <f t="shared" ref="B12:M12" si="4">(16568/100)*B8*0.97</f>
        <v>16874.508</v>
      </c>
      <c r="C12" s="20">
        <f t="shared" si="4"/>
        <v>16978.96924</v>
      </c>
      <c r="D12" s="20">
        <f t="shared" si="4"/>
        <v>17076.11819</v>
      </c>
      <c r="E12" s="20">
        <f t="shared" si="4"/>
        <v>17166.46672</v>
      </c>
      <c r="F12" s="20">
        <f t="shared" si="4"/>
        <v>17571.91005</v>
      </c>
      <c r="G12" s="20">
        <f t="shared" si="4"/>
        <v>17948.97235</v>
      </c>
      <c r="H12" s="20">
        <f t="shared" si="4"/>
        <v>18299.64028</v>
      </c>
      <c r="I12" s="20">
        <f t="shared" si="4"/>
        <v>18625.76146</v>
      </c>
      <c r="J12" s="20">
        <f t="shared" si="4"/>
        <v>18446.92536</v>
      </c>
      <c r="K12" s="20">
        <f t="shared" si="4"/>
        <v>18280.60778</v>
      </c>
      <c r="L12" s="20">
        <f t="shared" si="4"/>
        <v>18125.93244</v>
      </c>
      <c r="M12" s="20">
        <f t="shared" si="4"/>
        <v>18163.34369</v>
      </c>
      <c r="N12" s="20">
        <f t="shared" ref="N12:N14" si="5">SUM(B12:M12)</f>
        <v>213559.1556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4.25" customHeight="1">
      <c r="A13" s="21" t="s">
        <v>12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0">
        <f t="shared" si="5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4.25" customHeight="1">
      <c r="A14" s="21" t="s">
        <v>12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>
        <f t="shared" si="5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4.25" customHeight="1">
      <c r="A15" s="24" t="s">
        <v>13</v>
      </c>
      <c r="B15" s="25">
        <f t="shared" ref="B15:M15" si="6">SUM(B12:B14)</f>
        <v>16874.508</v>
      </c>
      <c r="C15" s="25">
        <f t="shared" si="6"/>
        <v>16978.96924</v>
      </c>
      <c r="D15" s="25">
        <f t="shared" si="6"/>
        <v>17076.11819</v>
      </c>
      <c r="E15" s="25">
        <f t="shared" si="6"/>
        <v>17166.46672</v>
      </c>
      <c r="F15" s="25">
        <f t="shared" si="6"/>
        <v>17571.91005</v>
      </c>
      <c r="G15" s="25">
        <f t="shared" si="6"/>
        <v>17948.97235</v>
      </c>
      <c r="H15" s="25">
        <f t="shared" si="6"/>
        <v>18299.64028</v>
      </c>
      <c r="I15" s="25">
        <f t="shared" si="6"/>
        <v>18625.76146</v>
      </c>
      <c r="J15" s="25">
        <f t="shared" si="6"/>
        <v>18446.92536</v>
      </c>
      <c r="K15" s="25">
        <f t="shared" si="6"/>
        <v>18280.60778</v>
      </c>
      <c r="L15" s="25">
        <f t="shared" si="6"/>
        <v>18125.93244</v>
      </c>
      <c r="M15" s="25">
        <f t="shared" si="6"/>
        <v>18163.34369</v>
      </c>
      <c r="N15" s="26">
        <f>(((((((((((B15)+(C15))+(D15))+(E15))+(F15))+(G15))+(H15))+(I15))+(J15))+(K15))+(L15))+(M15)</f>
        <v>213559.1556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4.25" customHeight="1">
      <c r="A16" s="27" t="s">
        <v>14</v>
      </c>
      <c r="B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4.25" customHeight="1">
      <c r="A17" s="30" t="s">
        <v>15</v>
      </c>
      <c r="B17" s="51">
        <f t="shared" ref="B17:M17" si="7">B6*20</f>
        <v>100</v>
      </c>
      <c r="C17" s="51">
        <f t="shared" si="7"/>
        <v>160</v>
      </c>
      <c r="D17" s="51">
        <f t="shared" si="7"/>
        <v>160</v>
      </c>
      <c r="E17" s="51">
        <f t="shared" si="7"/>
        <v>160</v>
      </c>
      <c r="F17" s="51">
        <f t="shared" si="7"/>
        <v>200</v>
      </c>
      <c r="G17" s="51">
        <f t="shared" si="7"/>
        <v>200</v>
      </c>
      <c r="H17" s="51">
        <f t="shared" si="7"/>
        <v>200</v>
      </c>
      <c r="I17" s="51">
        <f t="shared" si="7"/>
        <v>200</v>
      </c>
      <c r="J17" s="51">
        <f t="shared" si="7"/>
        <v>140</v>
      </c>
      <c r="K17" s="51">
        <f t="shared" si="7"/>
        <v>140</v>
      </c>
      <c r="L17" s="51">
        <f t="shared" si="7"/>
        <v>140</v>
      </c>
      <c r="M17" s="51">
        <f t="shared" si="7"/>
        <v>140</v>
      </c>
      <c r="N17" s="20">
        <f t="shared" ref="N17:N21" si="9">SUM(B17:M17)</f>
        <v>1940</v>
      </c>
      <c r="P17" s="29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4.25" customHeight="1">
      <c r="A18" s="21" t="s">
        <v>16</v>
      </c>
      <c r="B18" s="52">
        <f t="shared" ref="B18:M18" si="8">B12*0.03</f>
        <v>506.23524</v>
      </c>
      <c r="C18" s="52">
        <f t="shared" si="8"/>
        <v>509.3690772</v>
      </c>
      <c r="D18" s="52">
        <f t="shared" si="8"/>
        <v>512.2835458</v>
      </c>
      <c r="E18" s="52">
        <f t="shared" si="8"/>
        <v>514.9940016</v>
      </c>
      <c r="F18" s="52">
        <f t="shared" si="8"/>
        <v>527.1573015</v>
      </c>
      <c r="G18" s="52">
        <f t="shared" si="8"/>
        <v>538.4691704</v>
      </c>
      <c r="H18" s="52">
        <f t="shared" si="8"/>
        <v>548.9892084</v>
      </c>
      <c r="I18" s="52">
        <f t="shared" si="8"/>
        <v>558.7728439</v>
      </c>
      <c r="J18" s="52">
        <f t="shared" si="8"/>
        <v>553.4077608</v>
      </c>
      <c r="K18" s="52">
        <f t="shared" si="8"/>
        <v>548.4182335</v>
      </c>
      <c r="L18" s="52">
        <f t="shared" si="8"/>
        <v>543.7779732</v>
      </c>
      <c r="M18" s="52">
        <f t="shared" si="8"/>
        <v>544.9003108</v>
      </c>
      <c r="N18" s="20">
        <f t="shared" si="9"/>
        <v>6406.774667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4.25" customHeight="1">
      <c r="A19" s="30" t="s">
        <v>17</v>
      </c>
      <c r="B19" s="51">
        <f t="shared" ref="B19:M19" si="10">5*(B8*0.05)</f>
        <v>26.25</v>
      </c>
      <c r="C19" s="51">
        <f t="shared" si="10"/>
        <v>26.4125</v>
      </c>
      <c r="D19" s="51">
        <f t="shared" si="10"/>
        <v>26.563625</v>
      </c>
      <c r="E19" s="51">
        <f t="shared" si="10"/>
        <v>26.70417125</v>
      </c>
      <c r="F19" s="51">
        <f t="shared" si="10"/>
        <v>27.33487926</v>
      </c>
      <c r="G19" s="51">
        <f t="shared" si="10"/>
        <v>27.92143771</v>
      </c>
      <c r="H19" s="51">
        <f t="shared" si="10"/>
        <v>28.46693707</v>
      </c>
      <c r="I19" s="51">
        <f t="shared" si="10"/>
        <v>28.97425148</v>
      </c>
      <c r="J19" s="51">
        <f t="shared" si="10"/>
        <v>28.69605388</v>
      </c>
      <c r="K19" s="51">
        <f t="shared" si="10"/>
        <v>28.4373301</v>
      </c>
      <c r="L19" s="51">
        <f t="shared" si="10"/>
        <v>28.196717</v>
      </c>
      <c r="M19" s="51">
        <f t="shared" si="10"/>
        <v>28.25491398</v>
      </c>
      <c r="N19" s="20">
        <f t="shared" si="9"/>
        <v>332.2128167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4.25" customHeight="1">
      <c r="A20" s="32" t="s">
        <v>18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>
        <f t="shared" si="9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4.25" customHeight="1">
      <c r="A21" s="30" t="s">
        <v>19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>
        <f t="shared" si="9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4.25" customHeight="1">
      <c r="A22" s="33" t="s">
        <v>20</v>
      </c>
      <c r="B22" s="26">
        <f t="shared" ref="B22:M22" si="11">SUM(B17:B21)</f>
        <v>632.48524</v>
      </c>
      <c r="C22" s="26">
        <f t="shared" si="11"/>
        <v>695.7815772</v>
      </c>
      <c r="D22" s="26">
        <f t="shared" si="11"/>
        <v>698.8471708</v>
      </c>
      <c r="E22" s="26">
        <f t="shared" si="11"/>
        <v>701.6981728</v>
      </c>
      <c r="F22" s="26">
        <f t="shared" si="11"/>
        <v>754.4921807</v>
      </c>
      <c r="G22" s="26">
        <f t="shared" si="11"/>
        <v>766.3906081</v>
      </c>
      <c r="H22" s="26">
        <f t="shared" si="11"/>
        <v>777.4561455</v>
      </c>
      <c r="I22" s="26">
        <f t="shared" si="11"/>
        <v>787.7470953</v>
      </c>
      <c r="J22" s="26">
        <f t="shared" si="11"/>
        <v>722.1038147</v>
      </c>
      <c r="K22" s="26">
        <f t="shared" si="11"/>
        <v>716.8555636</v>
      </c>
      <c r="L22" s="26">
        <f t="shared" si="11"/>
        <v>711.9746902</v>
      </c>
      <c r="M22" s="26">
        <f t="shared" si="11"/>
        <v>713.1552248</v>
      </c>
      <c r="N22" s="26">
        <f>(((((((((((B22)+(C22))+(D22))+(E22))+(F22))+(G22))+(H22))+(I22))+(J22))+(K22))+(L22))+(M22)</f>
        <v>8678.987484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4.25" customHeight="1">
      <c r="A23" s="33" t="s">
        <v>21</v>
      </c>
      <c r="B23" s="34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4.25" customHeight="1">
      <c r="A24" s="30" t="s">
        <v>22</v>
      </c>
      <c r="B24" s="20">
        <v>0.0</v>
      </c>
      <c r="C24" s="20">
        <v>0.0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20">
        <v>0.0</v>
      </c>
      <c r="M24" s="20">
        <v>0.0</v>
      </c>
      <c r="N24" s="20">
        <f t="shared" ref="N24:N29" si="13">SUM(B24:M24)</f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4.25" customHeight="1">
      <c r="A25" s="21" t="s">
        <v>23</v>
      </c>
      <c r="B25" s="53">
        <f t="shared" ref="B25:M25" si="12">B8*0.94*5</f>
        <v>493.5</v>
      </c>
      <c r="C25" s="53">
        <f t="shared" si="12"/>
        <v>496.555</v>
      </c>
      <c r="D25" s="53">
        <f t="shared" si="12"/>
        <v>499.39615</v>
      </c>
      <c r="E25" s="53">
        <f t="shared" si="12"/>
        <v>502.0384195</v>
      </c>
      <c r="F25" s="53">
        <f t="shared" si="12"/>
        <v>513.8957301</v>
      </c>
      <c r="G25" s="53">
        <f t="shared" si="12"/>
        <v>524.923029</v>
      </c>
      <c r="H25" s="53">
        <f t="shared" si="12"/>
        <v>535.178417</v>
      </c>
      <c r="I25" s="53">
        <f t="shared" si="12"/>
        <v>544.7159278</v>
      </c>
      <c r="J25" s="53">
        <f t="shared" si="12"/>
        <v>539.4858129</v>
      </c>
      <c r="K25" s="53">
        <f t="shared" si="12"/>
        <v>534.621806</v>
      </c>
      <c r="L25" s="53">
        <f t="shared" si="12"/>
        <v>530.0982795</v>
      </c>
      <c r="M25" s="53">
        <f t="shared" si="12"/>
        <v>531.1923828</v>
      </c>
      <c r="N25" s="20">
        <f t="shared" si="13"/>
        <v>6245.600955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4.25" customHeight="1">
      <c r="A26" s="35" t="s">
        <v>24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0">
        <f t="shared" si="13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4.25" customHeight="1">
      <c r="A27" s="35" t="s">
        <v>25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20">
        <f t="shared" si="13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4.25" customHeight="1">
      <c r="A28" s="30" t="s">
        <v>26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0">
        <f t="shared" si="13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4.25" customHeight="1">
      <c r="A29" s="30" t="s">
        <v>26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20">
        <f t="shared" si="13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4.25" customHeight="1">
      <c r="A30" s="33" t="s">
        <v>27</v>
      </c>
      <c r="B30" s="26">
        <f t="shared" ref="B30:M30" si="14">SUM(B24:B29)</f>
        <v>493.5</v>
      </c>
      <c r="C30" s="26">
        <f t="shared" si="14"/>
        <v>496.555</v>
      </c>
      <c r="D30" s="26">
        <f t="shared" si="14"/>
        <v>499.39615</v>
      </c>
      <c r="E30" s="26">
        <f t="shared" si="14"/>
        <v>502.0384195</v>
      </c>
      <c r="F30" s="26">
        <f t="shared" si="14"/>
        <v>513.8957301</v>
      </c>
      <c r="G30" s="26">
        <f t="shared" si="14"/>
        <v>524.923029</v>
      </c>
      <c r="H30" s="26">
        <f t="shared" si="14"/>
        <v>535.178417</v>
      </c>
      <c r="I30" s="26">
        <f t="shared" si="14"/>
        <v>544.7159278</v>
      </c>
      <c r="J30" s="26">
        <f t="shared" si="14"/>
        <v>539.4858129</v>
      </c>
      <c r="K30" s="26">
        <f t="shared" si="14"/>
        <v>534.621806</v>
      </c>
      <c r="L30" s="26">
        <f t="shared" si="14"/>
        <v>530.0982795</v>
      </c>
      <c r="M30" s="26">
        <f t="shared" si="14"/>
        <v>531.1923828</v>
      </c>
      <c r="N30" s="26">
        <f>(((((((((((B30)+(C30))+(D30))+(E30))+(F30))+(G30))+(H30))+(I30))+(J30))+(K30))+(L30))+(M30)</f>
        <v>6245.600955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4.25" customHeight="1">
      <c r="A31" s="16" t="s">
        <v>28</v>
      </c>
      <c r="B31" s="26">
        <f t="shared" ref="B31:M31" si="15">B15+B22+B30</f>
        <v>18000.49324</v>
      </c>
      <c r="C31" s="26">
        <f t="shared" si="15"/>
        <v>18171.30582</v>
      </c>
      <c r="D31" s="26">
        <f t="shared" si="15"/>
        <v>18274.36151</v>
      </c>
      <c r="E31" s="26">
        <f t="shared" si="15"/>
        <v>18370.20331</v>
      </c>
      <c r="F31" s="26">
        <f t="shared" si="15"/>
        <v>18840.29796</v>
      </c>
      <c r="G31" s="26">
        <f t="shared" si="15"/>
        <v>19240.28598</v>
      </c>
      <c r="H31" s="26">
        <f t="shared" si="15"/>
        <v>19612.27484</v>
      </c>
      <c r="I31" s="26">
        <f t="shared" si="15"/>
        <v>19958.22449</v>
      </c>
      <c r="J31" s="26">
        <f t="shared" si="15"/>
        <v>19708.51499</v>
      </c>
      <c r="K31" s="26">
        <f t="shared" si="15"/>
        <v>19532.08515</v>
      </c>
      <c r="L31" s="26">
        <f t="shared" si="15"/>
        <v>19368.00541</v>
      </c>
      <c r="M31" s="26">
        <f t="shared" si="15"/>
        <v>19407.6913</v>
      </c>
      <c r="N31" s="26">
        <f>SUM(B31:M31)</f>
        <v>228483.744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4.25" customHeight="1">
      <c r="A32" s="1"/>
      <c r="B32" s="34"/>
      <c r="C32" s="34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4.25" customHeight="1">
      <c r="A33" s="16" t="s">
        <v>29</v>
      </c>
      <c r="D33" s="36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4.25" customHeight="1">
      <c r="A34" s="33" t="s">
        <v>30</v>
      </c>
      <c r="B34" s="34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4.25" customHeight="1">
      <c r="A35" s="37" t="s">
        <v>31</v>
      </c>
      <c r="B35" s="31">
        <v>300.0</v>
      </c>
      <c r="C35" s="20">
        <f t="shared" ref="C35:M35" si="16">B35</f>
        <v>300</v>
      </c>
      <c r="D35" s="20">
        <f t="shared" si="16"/>
        <v>300</v>
      </c>
      <c r="E35" s="20">
        <f t="shared" si="16"/>
        <v>300</v>
      </c>
      <c r="F35" s="20">
        <f t="shared" si="16"/>
        <v>300</v>
      </c>
      <c r="G35" s="20">
        <f t="shared" si="16"/>
        <v>300</v>
      </c>
      <c r="H35" s="20">
        <f t="shared" si="16"/>
        <v>300</v>
      </c>
      <c r="I35" s="20">
        <f t="shared" si="16"/>
        <v>300</v>
      </c>
      <c r="J35" s="20">
        <f t="shared" si="16"/>
        <v>300</v>
      </c>
      <c r="K35" s="20">
        <f t="shared" si="16"/>
        <v>300</v>
      </c>
      <c r="L35" s="20">
        <f t="shared" si="16"/>
        <v>300</v>
      </c>
      <c r="M35" s="20">
        <f t="shared" si="16"/>
        <v>300</v>
      </c>
      <c r="N35" s="20">
        <f t="shared" ref="N35:N47" si="19">(((((((((((B35)+(C35))+(D35))+(E35))+(F35))+(G35))+(H35))+(I35))+(J35))+(K35))+(L35))+(M35)</f>
        <v>3600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4.25" customHeight="1">
      <c r="A36" s="37" t="s">
        <v>32</v>
      </c>
      <c r="B36" s="20">
        <v>0.0</v>
      </c>
      <c r="C36" s="20">
        <v>0.0</v>
      </c>
      <c r="D36" s="20">
        <v>100.0</v>
      </c>
      <c r="E36" s="20">
        <v>0.0</v>
      </c>
      <c r="F36" s="20">
        <f t="shared" ref="F36:G36" si="17">0</f>
        <v>0</v>
      </c>
      <c r="G36" s="20">
        <f t="shared" si="17"/>
        <v>0</v>
      </c>
      <c r="H36" s="20">
        <v>100.0</v>
      </c>
      <c r="I36" s="20">
        <f t="shared" ref="I36:K36" si="18">0</f>
        <v>0</v>
      </c>
      <c r="J36" s="20">
        <f t="shared" si="18"/>
        <v>0</v>
      </c>
      <c r="K36" s="20">
        <f t="shared" si="18"/>
        <v>0</v>
      </c>
      <c r="L36" s="20">
        <v>100.0</v>
      </c>
      <c r="M36" s="20">
        <f>0</f>
        <v>0</v>
      </c>
      <c r="N36" s="20">
        <f t="shared" si="19"/>
        <v>300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4.25" customHeight="1">
      <c r="A37" s="37" t="s">
        <v>33</v>
      </c>
      <c r="B37" s="31">
        <v>0.0</v>
      </c>
      <c r="C37" s="20">
        <f t="shared" ref="C37:M37" si="20">B37</f>
        <v>0</v>
      </c>
      <c r="D37" s="20">
        <f t="shared" si="20"/>
        <v>0</v>
      </c>
      <c r="E37" s="20">
        <f t="shared" si="20"/>
        <v>0</v>
      </c>
      <c r="F37" s="20">
        <f t="shared" si="20"/>
        <v>0</v>
      </c>
      <c r="G37" s="20">
        <f t="shared" si="20"/>
        <v>0</v>
      </c>
      <c r="H37" s="20">
        <f t="shared" si="20"/>
        <v>0</v>
      </c>
      <c r="I37" s="20">
        <f t="shared" si="20"/>
        <v>0</v>
      </c>
      <c r="J37" s="20">
        <f t="shared" si="20"/>
        <v>0</v>
      </c>
      <c r="K37" s="20">
        <f t="shared" si="20"/>
        <v>0</v>
      </c>
      <c r="L37" s="20">
        <f t="shared" si="20"/>
        <v>0</v>
      </c>
      <c r="M37" s="20">
        <f t="shared" si="20"/>
        <v>0</v>
      </c>
      <c r="N37" s="20">
        <f t="shared" si="19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4.25" customHeight="1">
      <c r="A38" s="37" t="s">
        <v>34</v>
      </c>
      <c r="B38" s="31">
        <v>300.0</v>
      </c>
      <c r="C38" s="20">
        <f t="shared" ref="C38:M38" si="21">B38</f>
        <v>300</v>
      </c>
      <c r="D38" s="20">
        <f t="shared" si="21"/>
        <v>300</v>
      </c>
      <c r="E38" s="20">
        <f t="shared" si="21"/>
        <v>300</v>
      </c>
      <c r="F38" s="20">
        <f t="shared" si="21"/>
        <v>300</v>
      </c>
      <c r="G38" s="20">
        <f t="shared" si="21"/>
        <v>300</v>
      </c>
      <c r="H38" s="20">
        <f t="shared" si="21"/>
        <v>300</v>
      </c>
      <c r="I38" s="20">
        <f t="shared" si="21"/>
        <v>300</v>
      </c>
      <c r="J38" s="20">
        <f t="shared" si="21"/>
        <v>300</v>
      </c>
      <c r="K38" s="20">
        <f t="shared" si="21"/>
        <v>300</v>
      </c>
      <c r="L38" s="20">
        <f t="shared" si="21"/>
        <v>300</v>
      </c>
      <c r="M38" s="20">
        <f t="shared" si="21"/>
        <v>300</v>
      </c>
      <c r="N38" s="20">
        <f t="shared" si="19"/>
        <v>3600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4.25" customHeight="1">
      <c r="A39" s="38" t="s">
        <v>35</v>
      </c>
      <c r="B39" s="20">
        <v>0.0</v>
      </c>
      <c r="C39" s="20">
        <f t="shared" ref="C39:M39" si="22">B39</f>
        <v>0</v>
      </c>
      <c r="D39" s="20">
        <f t="shared" si="22"/>
        <v>0</v>
      </c>
      <c r="E39" s="20">
        <f t="shared" si="22"/>
        <v>0</v>
      </c>
      <c r="F39" s="20">
        <f t="shared" si="22"/>
        <v>0</v>
      </c>
      <c r="G39" s="20">
        <f t="shared" si="22"/>
        <v>0</v>
      </c>
      <c r="H39" s="20">
        <f t="shared" si="22"/>
        <v>0</v>
      </c>
      <c r="I39" s="20">
        <f t="shared" si="22"/>
        <v>0</v>
      </c>
      <c r="J39" s="20">
        <f t="shared" si="22"/>
        <v>0</v>
      </c>
      <c r="K39" s="20">
        <f t="shared" si="22"/>
        <v>0</v>
      </c>
      <c r="L39" s="20">
        <f t="shared" si="22"/>
        <v>0</v>
      </c>
      <c r="M39" s="20">
        <f t="shared" si="22"/>
        <v>0</v>
      </c>
      <c r="N39" s="20">
        <f t="shared" si="19"/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4.25" customHeight="1">
      <c r="A40" s="33" t="s">
        <v>30</v>
      </c>
      <c r="B40" s="26">
        <f t="shared" ref="B40:M40" si="23">SUM(B35:B39)</f>
        <v>600</v>
      </c>
      <c r="C40" s="26">
        <f t="shared" si="23"/>
        <v>600</v>
      </c>
      <c r="D40" s="26">
        <f t="shared" si="23"/>
        <v>700</v>
      </c>
      <c r="E40" s="26">
        <f t="shared" si="23"/>
        <v>600</v>
      </c>
      <c r="F40" s="26">
        <f t="shared" si="23"/>
        <v>600</v>
      </c>
      <c r="G40" s="26">
        <f t="shared" si="23"/>
        <v>600</v>
      </c>
      <c r="H40" s="26">
        <f t="shared" si="23"/>
        <v>700</v>
      </c>
      <c r="I40" s="26">
        <f t="shared" si="23"/>
        <v>600</v>
      </c>
      <c r="J40" s="26">
        <f t="shared" si="23"/>
        <v>600</v>
      </c>
      <c r="K40" s="26">
        <f t="shared" si="23"/>
        <v>600</v>
      </c>
      <c r="L40" s="26">
        <f t="shared" si="23"/>
        <v>700</v>
      </c>
      <c r="M40" s="26">
        <f t="shared" si="23"/>
        <v>600</v>
      </c>
      <c r="N40" s="26">
        <f t="shared" si="19"/>
        <v>7500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4.25" customHeight="1">
      <c r="A41" s="33" t="s">
        <v>36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0">
        <f t="shared" si="19"/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4.25" customHeight="1">
      <c r="A42" s="39" t="s">
        <v>37</v>
      </c>
      <c r="B42" s="31">
        <v>100.0</v>
      </c>
      <c r="C42" s="31">
        <v>100.0</v>
      </c>
      <c r="D42" s="31">
        <v>100.0</v>
      </c>
      <c r="E42" s="31">
        <v>100.0</v>
      </c>
      <c r="F42" s="31">
        <v>100.0</v>
      </c>
      <c r="G42" s="31">
        <v>100.0</v>
      </c>
      <c r="H42" s="31">
        <v>100.0</v>
      </c>
      <c r="I42" s="31">
        <v>100.0</v>
      </c>
      <c r="J42" s="31">
        <v>100.0</v>
      </c>
      <c r="K42" s="31">
        <v>100.0</v>
      </c>
      <c r="L42" s="31">
        <v>100.0</v>
      </c>
      <c r="M42" s="31">
        <v>100.0</v>
      </c>
      <c r="N42" s="20">
        <f t="shared" si="19"/>
        <v>1200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4.25" customHeight="1">
      <c r="A43" s="39" t="s">
        <v>38</v>
      </c>
      <c r="B43" s="20">
        <f t="shared" ref="B43:M43" si="24">IF(B31*0.06&lt;1000,1000,B31*0.06)</f>
        <v>1080.029594</v>
      </c>
      <c r="C43" s="20">
        <f t="shared" si="24"/>
        <v>1090.278349</v>
      </c>
      <c r="D43" s="20">
        <f t="shared" si="24"/>
        <v>1096.461691</v>
      </c>
      <c r="E43" s="20">
        <f t="shared" si="24"/>
        <v>1102.212199</v>
      </c>
      <c r="F43" s="20">
        <f t="shared" si="24"/>
        <v>1130.417878</v>
      </c>
      <c r="G43" s="20">
        <f t="shared" si="24"/>
        <v>1154.417159</v>
      </c>
      <c r="H43" s="20">
        <f t="shared" si="24"/>
        <v>1176.736491</v>
      </c>
      <c r="I43" s="20">
        <f t="shared" si="24"/>
        <v>1197.493469</v>
      </c>
      <c r="J43" s="20">
        <f t="shared" si="24"/>
        <v>1182.510899</v>
      </c>
      <c r="K43" s="20">
        <f t="shared" si="24"/>
        <v>1171.925109</v>
      </c>
      <c r="L43" s="20">
        <f t="shared" si="24"/>
        <v>1162.080325</v>
      </c>
      <c r="M43" s="20">
        <f t="shared" si="24"/>
        <v>1164.461478</v>
      </c>
      <c r="N43" s="20">
        <f t="shared" si="19"/>
        <v>13709.02464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4.25" customHeight="1">
      <c r="A44" s="39" t="s">
        <v>39</v>
      </c>
      <c r="B44" s="31">
        <v>0.0</v>
      </c>
      <c r="C44" s="31">
        <v>0.0</v>
      </c>
      <c r="D44" s="31">
        <v>0.0</v>
      </c>
      <c r="E44" s="31">
        <v>0.0</v>
      </c>
      <c r="F44" s="31">
        <v>0.0</v>
      </c>
      <c r="G44" s="31">
        <v>0.0</v>
      </c>
      <c r="H44" s="31">
        <v>0.0</v>
      </c>
      <c r="I44" s="31">
        <v>0.0</v>
      </c>
      <c r="J44" s="31">
        <v>0.0</v>
      </c>
      <c r="K44" s="31">
        <v>0.0</v>
      </c>
      <c r="L44" s="31">
        <v>0.0</v>
      </c>
      <c r="M44" s="31">
        <v>0.0</v>
      </c>
      <c r="N44" s="20">
        <f t="shared" si="19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4.25" customHeight="1">
      <c r="A45" s="40" t="s">
        <v>40</v>
      </c>
      <c r="B45" s="31">
        <v>0.0</v>
      </c>
      <c r="C45" s="31">
        <v>0.0</v>
      </c>
      <c r="D45" s="31">
        <v>0.0</v>
      </c>
      <c r="E45" s="31">
        <v>0.0</v>
      </c>
      <c r="F45" s="31">
        <v>0.0</v>
      </c>
      <c r="G45" s="31">
        <v>0.0</v>
      </c>
      <c r="H45" s="31">
        <v>150.0</v>
      </c>
      <c r="I45" s="31">
        <v>75.0</v>
      </c>
      <c r="J45" s="31">
        <v>0.0</v>
      </c>
      <c r="K45" s="31">
        <v>0.0</v>
      </c>
      <c r="L45" s="31">
        <v>0.0</v>
      </c>
      <c r="M45" s="31">
        <v>0.0</v>
      </c>
      <c r="N45" s="20">
        <f t="shared" si="19"/>
        <v>225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4.25" customHeight="1">
      <c r="A46" s="40" t="s">
        <v>41</v>
      </c>
      <c r="B46" s="31">
        <v>0.0</v>
      </c>
      <c r="C46" s="31">
        <v>0.0</v>
      </c>
      <c r="D46" s="31">
        <v>0.0</v>
      </c>
      <c r="E46" s="31">
        <v>0.0</v>
      </c>
      <c r="F46" s="31">
        <v>0.0</v>
      </c>
      <c r="G46" s="31">
        <v>0.0</v>
      </c>
      <c r="H46" s="31">
        <v>150.0</v>
      </c>
      <c r="I46" s="31">
        <v>0.0</v>
      </c>
      <c r="J46" s="31">
        <v>0.0</v>
      </c>
      <c r="K46" s="31">
        <v>0.0</v>
      </c>
      <c r="L46" s="31">
        <v>0.0</v>
      </c>
      <c r="M46" s="31">
        <v>0.0</v>
      </c>
      <c r="N46" s="20">
        <f t="shared" si="19"/>
        <v>150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4.25" customHeight="1">
      <c r="A47" s="33" t="s">
        <v>42</v>
      </c>
      <c r="B47" s="26">
        <f t="shared" ref="B47:M47" si="25">SUM(B42:B46)</f>
        <v>1180.029594</v>
      </c>
      <c r="C47" s="26">
        <f t="shared" si="25"/>
        <v>1190.278349</v>
      </c>
      <c r="D47" s="26">
        <f t="shared" si="25"/>
        <v>1196.461691</v>
      </c>
      <c r="E47" s="26">
        <f t="shared" si="25"/>
        <v>1202.212199</v>
      </c>
      <c r="F47" s="26">
        <f t="shared" si="25"/>
        <v>1230.417878</v>
      </c>
      <c r="G47" s="26">
        <f t="shared" si="25"/>
        <v>1254.417159</v>
      </c>
      <c r="H47" s="26">
        <f t="shared" si="25"/>
        <v>1576.736491</v>
      </c>
      <c r="I47" s="26">
        <f t="shared" si="25"/>
        <v>1372.493469</v>
      </c>
      <c r="J47" s="26">
        <f t="shared" si="25"/>
        <v>1282.510899</v>
      </c>
      <c r="K47" s="26">
        <f t="shared" si="25"/>
        <v>1271.925109</v>
      </c>
      <c r="L47" s="26">
        <f t="shared" si="25"/>
        <v>1262.080325</v>
      </c>
      <c r="M47" s="26">
        <f t="shared" si="25"/>
        <v>1264.461478</v>
      </c>
      <c r="N47" s="26">
        <f t="shared" si="19"/>
        <v>15284.02464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4.25" customHeight="1">
      <c r="A48" s="33" t="s">
        <v>43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4.25" customHeight="1">
      <c r="A49" s="39" t="s">
        <v>44</v>
      </c>
      <c r="B49" s="20">
        <f t="shared" ref="B49:M49" si="26">B24*0.4</f>
        <v>0</v>
      </c>
      <c r="C49" s="20">
        <f t="shared" si="26"/>
        <v>0</v>
      </c>
      <c r="D49" s="20">
        <f t="shared" si="26"/>
        <v>0</v>
      </c>
      <c r="E49" s="20">
        <f t="shared" si="26"/>
        <v>0</v>
      </c>
      <c r="F49" s="20">
        <f t="shared" si="26"/>
        <v>0</v>
      </c>
      <c r="G49" s="20">
        <f t="shared" si="26"/>
        <v>0</v>
      </c>
      <c r="H49" s="20">
        <f t="shared" si="26"/>
        <v>0</v>
      </c>
      <c r="I49" s="20">
        <f t="shared" si="26"/>
        <v>0</v>
      </c>
      <c r="J49" s="20">
        <f t="shared" si="26"/>
        <v>0</v>
      </c>
      <c r="K49" s="20">
        <f t="shared" si="26"/>
        <v>0</v>
      </c>
      <c r="L49" s="20">
        <f t="shared" si="26"/>
        <v>0</v>
      </c>
      <c r="M49" s="20">
        <f t="shared" si="26"/>
        <v>0</v>
      </c>
      <c r="N49" s="20">
        <f t="shared" ref="N49:N51" si="27">(((((((((((B49)+(C49))+(D49))+(E49))+(F49))+(G49))+(H49))+(I49))+(J49))+(K49))+(L49))+(M49)</f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4.25" customHeight="1">
      <c r="A50" s="39" t="s">
        <v>45</v>
      </c>
      <c r="B50" s="20">
        <v>50.0</v>
      </c>
      <c r="C50" s="20">
        <v>50.0</v>
      </c>
      <c r="D50" s="20">
        <v>50.0</v>
      </c>
      <c r="E50" s="20">
        <v>50.0</v>
      </c>
      <c r="F50" s="20">
        <v>50.0</v>
      </c>
      <c r="G50" s="20">
        <v>50.0</v>
      </c>
      <c r="H50" s="20">
        <v>50.0</v>
      </c>
      <c r="I50" s="20">
        <v>50.0</v>
      </c>
      <c r="J50" s="20">
        <v>50.0</v>
      </c>
      <c r="K50" s="20">
        <v>50.0</v>
      </c>
      <c r="L50" s="20">
        <v>50.0</v>
      </c>
      <c r="M50" s="20">
        <v>50.0</v>
      </c>
      <c r="N50" s="20">
        <f t="shared" si="27"/>
        <v>600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4.25" customHeight="1">
      <c r="A51" s="39" t="s">
        <v>46</v>
      </c>
      <c r="B51" s="20">
        <v>50.0</v>
      </c>
      <c r="C51" s="20">
        <v>50.0</v>
      </c>
      <c r="D51" s="20">
        <v>50.0</v>
      </c>
      <c r="E51" s="20">
        <v>50.0</v>
      </c>
      <c r="F51" s="20">
        <v>50.0</v>
      </c>
      <c r="G51" s="20">
        <v>50.0</v>
      </c>
      <c r="H51" s="20">
        <v>50.0</v>
      </c>
      <c r="I51" s="20">
        <v>50.0</v>
      </c>
      <c r="J51" s="20">
        <v>50.0</v>
      </c>
      <c r="K51" s="20">
        <v>50.0</v>
      </c>
      <c r="L51" s="20">
        <v>50.0</v>
      </c>
      <c r="M51" s="20">
        <v>50.0</v>
      </c>
      <c r="N51" s="20">
        <f t="shared" si="27"/>
        <v>600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4.25" customHeight="1">
      <c r="A52" s="40" t="s">
        <v>47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4.25" customHeight="1">
      <c r="A53" s="39" t="s">
        <v>45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4.25" customHeight="1">
      <c r="A54" s="39" t="s">
        <v>46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4.25" customHeight="1">
      <c r="A55" s="33" t="s">
        <v>48</v>
      </c>
      <c r="B55" s="26">
        <f t="shared" ref="B55:M55" si="28">SUM(B49:B54)</f>
        <v>100</v>
      </c>
      <c r="C55" s="26">
        <f t="shared" si="28"/>
        <v>100</v>
      </c>
      <c r="D55" s="26">
        <f t="shared" si="28"/>
        <v>100</v>
      </c>
      <c r="E55" s="26">
        <f t="shared" si="28"/>
        <v>100</v>
      </c>
      <c r="F55" s="26">
        <f t="shared" si="28"/>
        <v>100</v>
      </c>
      <c r="G55" s="26">
        <f t="shared" si="28"/>
        <v>100</v>
      </c>
      <c r="H55" s="26">
        <f t="shared" si="28"/>
        <v>100</v>
      </c>
      <c r="I55" s="26">
        <f t="shared" si="28"/>
        <v>100</v>
      </c>
      <c r="J55" s="26">
        <f t="shared" si="28"/>
        <v>100</v>
      </c>
      <c r="K55" s="26">
        <f t="shared" si="28"/>
        <v>100</v>
      </c>
      <c r="L55" s="26">
        <f t="shared" si="28"/>
        <v>100</v>
      </c>
      <c r="M55" s="26">
        <f t="shared" si="28"/>
        <v>100</v>
      </c>
      <c r="N55" s="26">
        <f>(((((((((((B55)+(C55))+(D55))+(E55))+(F55))+(G55))+(H55))+(I55))+(J55))+(K55))+(L55))+(M55)</f>
        <v>1200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4.25" customHeight="1">
      <c r="A56" s="33" t="s">
        <v>49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4.25" customHeight="1">
      <c r="A57" s="39" t="s">
        <v>50</v>
      </c>
      <c r="B57" s="31">
        <v>300.0</v>
      </c>
      <c r="C57" s="31">
        <v>300.0</v>
      </c>
      <c r="D57" s="31">
        <v>300.0</v>
      </c>
      <c r="E57" s="31">
        <v>300.0</v>
      </c>
      <c r="F57" s="31">
        <v>300.0</v>
      </c>
      <c r="G57" s="31">
        <v>300.0</v>
      </c>
      <c r="H57" s="31">
        <v>300.0</v>
      </c>
      <c r="I57" s="31">
        <v>300.0</v>
      </c>
      <c r="J57" s="31">
        <v>300.0</v>
      </c>
      <c r="K57" s="31">
        <v>300.0</v>
      </c>
      <c r="L57" s="31">
        <v>300.0</v>
      </c>
      <c r="M57" s="31">
        <v>300.0</v>
      </c>
      <c r="N57" s="20">
        <f t="shared" ref="N57:N58" si="29">(((((((((((B57)+(C57))+(D57))+(E57))+(F57))+(G57))+(H57))+(I57))+(J57))+(K57))+(L57))+(M57)</f>
        <v>3600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4.25" customHeight="1">
      <c r="A58" s="39" t="s">
        <v>51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20">
        <f t="shared" si="29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4.25" customHeight="1">
      <c r="A59" s="39" t="s">
        <v>52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4.25" customHeight="1">
      <c r="A60" s="39" t="s">
        <v>53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4.25" customHeight="1">
      <c r="A61" s="39" t="s">
        <v>54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4.25" customHeight="1">
      <c r="A62" s="39" t="s">
        <v>55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4.25" customHeight="1">
      <c r="A63" s="39" t="s">
        <v>56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>
        <f t="shared" ref="N63:N64" si="30">(((((((((((B63)+(C63))+(D63))+(E63))+(F63))+(G63))+(H63))+(I63))+(J63))+(K63))+(L63))+(M63)</f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4.25" customHeight="1">
      <c r="A64" s="39" t="s">
        <v>57</v>
      </c>
      <c r="B64" s="31">
        <v>300.0</v>
      </c>
      <c r="C64" s="31">
        <v>300.0</v>
      </c>
      <c r="D64" s="31">
        <v>300.0</v>
      </c>
      <c r="E64" s="31">
        <v>300.0</v>
      </c>
      <c r="F64" s="31">
        <v>300.0</v>
      </c>
      <c r="G64" s="31">
        <v>300.0</v>
      </c>
      <c r="H64" s="31">
        <v>300.0</v>
      </c>
      <c r="I64" s="31">
        <v>300.0</v>
      </c>
      <c r="J64" s="31">
        <v>300.0</v>
      </c>
      <c r="K64" s="31">
        <v>300.0</v>
      </c>
      <c r="L64" s="31">
        <v>300.0</v>
      </c>
      <c r="M64" s="31">
        <v>300.0</v>
      </c>
      <c r="N64" s="20">
        <f t="shared" si="30"/>
        <v>3600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4.25" customHeight="1">
      <c r="A65" s="39" t="s">
        <v>58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18"/>
      <c r="N65" s="18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4.25" customHeight="1">
      <c r="A66" s="33" t="s">
        <v>59</v>
      </c>
      <c r="B66" s="26">
        <f t="shared" ref="B66:M66" si="31">SUM(B57:B65)</f>
        <v>600</v>
      </c>
      <c r="C66" s="26">
        <f t="shared" si="31"/>
        <v>600</v>
      </c>
      <c r="D66" s="26">
        <f t="shared" si="31"/>
        <v>600</v>
      </c>
      <c r="E66" s="26">
        <f t="shared" si="31"/>
        <v>600</v>
      </c>
      <c r="F66" s="26">
        <f t="shared" si="31"/>
        <v>600</v>
      </c>
      <c r="G66" s="26">
        <f t="shared" si="31"/>
        <v>600</v>
      </c>
      <c r="H66" s="26">
        <f t="shared" si="31"/>
        <v>600</v>
      </c>
      <c r="I66" s="26">
        <f t="shared" si="31"/>
        <v>600</v>
      </c>
      <c r="J66" s="26">
        <f t="shared" si="31"/>
        <v>600</v>
      </c>
      <c r="K66" s="26">
        <f t="shared" si="31"/>
        <v>600</v>
      </c>
      <c r="L66" s="26">
        <f t="shared" si="31"/>
        <v>600</v>
      </c>
      <c r="M66" s="26">
        <f t="shared" si="31"/>
        <v>600</v>
      </c>
      <c r="N66" s="26">
        <f>(((((((((((B66)+(C66))+(D66))+(E66))+(F66))+(G66))+(H66))+(I66))+(J66))+(K66))+(L66))+(M66)</f>
        <v>7200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4.25" customHeight="1">
      <c r="A67" s="33" t="s">
        <v>60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4.25" customHeight="1">
      <c r="A68" s="39" t="s">
        <v>61</v>
      </c>
      <c r="B68" s="20">
        <v>0.0</v>
      </c>
      <c r="C68" s="20">
        <f t="shared" ref="C68:M68" si="32">B68</f>
        <v>0</v>
      </c>
      <c r="D68" s="20">
        <f t="shared" si="32"/>
        <v>0</v>
      </c>
      <c r="E68" s="20">
        <f t="shared" si="32"/>
        <v>0</v>
      </c>
      <c r="F68" s="20">
        <f t="shared" si="32"/>
        <v>0</v>
      </c>
      <c r="G68" s="20">
        <f t="shared" si="32"/>
        <v>0</v>
      </c>
      <c r="H68" s="20">
        <f t="shared" si="32"/>
        <v>0</v>
      </c>
      <c r="I68" s="20">
        <f t="shared" si="32"/>
        <v>0</v>
      </c>
      <c r="J68" s="20">
        <f t="shared" si="32"/>
        <v>0</v>
      </c>
      <c r="K68" s="20">
        <f t="shared" si="32"/>
        <v>0</v>
      </c>
      <c r="L68" s="20">
        <f t="shared" si="32"/>
        <v>0</v>
      </c>
      <c r="M68" s="20">
        <f t="shared" si="32"/>
        <v>0</v>
      </c>
      <c r="N68" s="20">
        <f>(((((((((((B68)+(C68))+(D68))+(E68))+(F68))+(G68))+(H68))+(I68))+(J68))+(K68))+(L68))+(M68)</f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4.25" customHeight="1">
      <c r="A69" s="39" t="s">
        <v>62</v>
      </c>
      <c r="B69" s="20">
        <f t="shared" ref="B69:M69" si="33">B31*0.027</f>
        <v>486.0133175</v>
      </c>
      <c r="C69" s="20">
        <f t="shared" si="33"/>
        <v>490.6252571</v>
      </c>
      <c r="D69" s="20">
        <f t="shared" si="33"/>
        <v>493.4077609</v>
      </c>
      <c r="E69" s="20">
        <f t="shared" si="33"/>
        <v>495.9954894</v>
      </c>
      <c r="F69" s="20">
        <f t="shared" si="33"/>
        <v>508.6880449</v>
      </c>
      <c r="G69" s="20">
        <f t="shared" si="33"/>
        <v>519.4877215</v>
      </c>
      <c r="H69" s="20">
        <f t="shared" si="33"/>
        <v>529.5314208</v>
      </c>
      <c r="I69" s="20">
        <f t="shared" si="33"/>
        <v>538.8720611</v>
      </c>
      <c r="J69" s="20">
        <f t="shared" si="33"/>
        <v>532.1299047</v>
      </c>
      <c r="K69" s="20">
        <f t="shared" si="33"/>
        <v>527.3662992</v>
      </c>
      <c r="L69" s="20">
        <f t="shared" si="33"/>
        <v>522.936146</v>
      </c>
      <c r="M69" s="20">
        <f t="shared" si="33"/>
        <v>524.0076651</v>
      </c>
      <c r="N69" s="20">
        <f>N31*0.02</f>
        <v>4569.67488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4.25" customHeight="1">
      <c r="A70" s="33" t="s">
        <v>63</v>
      </c>
      <c r="B70" s="26">
        <f t="shared" ref="B70:M70" si="34">SUM(B68:B69)</f>
        <v>486.0133175</v>
      </c>
      <c r="C70" s="26">
        <f t="shared" si="34"/>
        <v>490.6252571</v>
      </c>
      <c r="D70" s="26">
        <f t="shared" si="34"/>
        <v>493.4077609</v>
      </c>
      <c r="E70" s="26">
        <f t="shared" si="34"/>
        <v>495.9954894</v>
      </c>
      <c r="F70" s="26">
        <f t="shared" si="34"/>
        <v>508.6880449</v>
      </c>
      <c r="G70" s="26">
        <f t="shared" si="34"/>
        <v>519.4877215</v>
      </c>
      <c r="H70" s="26">
        <f t="shared" si="34"/>
        <v>529.5314208</v>
      </c>
      <c r="I70" s="26">
        <f t="shared" si="34"/>
        <v>538.8720611</v>
      </c>
      <c r="J70" s="26">
        <f t="shared" si="34"/>
        <v>532.1299047</v>
      </c>
      <c r="K70" s="26">
        <f t="shared" si="34"/>
        <v>527.3662992</v>
      </c>
      <c r="L70" s="26">
        <f t="shared" si="34"/>
        <v>522.936146</v>
      </c>
      <c r="M70" s="26">
        <f t="shared" si="34"/>
        <v>524.0076651</v>
      </c>
      <c r="N70" s="26">
        <f>(((((((((((B70)+(C70))+(D70))+(E70))+(F70))+(G70))+(H70))+(I70))+(J70))+(K70))+(L70))+(M70)</f>
        <v>6169.061088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4.25" customHeight="1">
      <c r="A71" s="33" t="s">
        <v>64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4.25" customHeight="1">
      <c r="A72" s="39" t="s">
        <v>65</v>
      </c>
      <c r="B72" s="31">
        <v>90.0</v>
      </c>
      <c r="C72" s="31">
        <v>90.0</v>
      </c>
      <c r="D72" s="31">
        <v>90.0</v>
      </c>
      <c r="E72" s="31">
        <v>90.0</v>
      </c>
      <c r="F72" s="31">
        <v>90.0</v>
      </c>
      <c r="G72" s="31">
        <v>90.0</v>
      </c>
      <c r="H72" s="31">
        <v>90.0</v>
      </c>
      <c r="I72" s="31">
        <v>90.0</v>
      </c>
      <c r="J72" s="31">
        <v>90.0</v>
      </c>
      <c r="K72" s="31">
        <v>90.0</v>
      </c>
      <c r="L72" s="31">
        <v>90.0</v>
      </c>
      <c r="M72" s="31">
        <v>90.0</v>
      </c>
      <c r="N72" s="20">
        <f t="shared" ref="N72:N77" si="35">(((((((((((B72)+(C72))+(D72))+(E72))+(F72))+(G72))+(H72))+(I72))+(J72))+(K72))+(L72))+(M72)</f>
        <v>1080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4.25" customHeight="1">
      <c r="A73" s="40" t="s">
        <v>66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>
        <f t="shared" si="35"/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4.25" customHeight="1">
      <c r="A74" s="39" t="s">
        <v>67</v>
      </c>
      <c r="B74" s="20">
        <v>80.0</v>
      </c>
      <c r="C74" s="20">
        <v>80.0</v>
      </c>
      <c r="D74" s="20">
        <v>80.0</v>
      </c>
      <c r="E74" s="20">
        <v>80.0</v>
      </c>
      <c r="F74" s="20">
        <v>80.0</v>
      </c>
      <c r="G74" s="20">
        <v>80.0</v>
      </c>
      <c r="H74" s="20">
        <v>80.0</v>
      </c>
      <c r="I74" s="20">
        <v>80.0</v>
      </c>
      <c r="J74" s="20">
        <v>80.0</v>
      </c>
      <c r="K74" s="20">
        <v>80.0</v>
      </c>
      <c r="L74" s="20">
        <v>80.0</v>
      </c>
      <c r="M74" s="20">
        <v>80.0</v>
      </c>
      <c r="N74" s="20">
        <f t="shared" si="35"/>
        <v>960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4.25" customHeight="1">
      <c r="A75" s="39" t="s">
        <v>68</v>
      </c>
      <c r="B75" s="20">
        <v>63.0</v>
      </c>
      <c r="C75" s="20">
        <v>63.0</v>
      </c>
      <c r="D75" s="20">
        <v>63.0</v>
      </c>
      <c r="E75" s="20">
        <v>63.0</v>
      </c>
      <c r="F75" s="20">
        <v>63.0</v>
      </c>
      <c r="G75" s="20">
        <v>63.0</v>
      </c>
      <c r="H75" s="20">
        <v>63.0</v>
      </c>
      <c r="I75" s="20">
        <v>63.0</v>
      </c>
      <c r="J75" s="20">
        <v>63.0</v>
      </c>
      <c r="K75" s="20">
        <v>63.0</v>
      </c>
      <c r="L75" s="20">
        <v>63.0</v>
      </c>
      <c r="M75" s="20">
        <v>63.0</v>
      </c>
      <c r="N75" s="20">
        <f t="shared" si="35"/>
        <v>756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4.25" customHeight="1">
      <c r="A76" s="39" t="s">
        <v>69</v>
      </c>
      <c r="B76" s="31">
        <v>145.0</v>
      </c>
      <c r="C76" s="20">
        <f t="shared" ref="C76:M76" si="36">B76</f>
        <v>145</v>
      </c>
      <c r="D76" s="20">
        <f t="shared" si="36"/>
        <v>145</v>
      </c>
      <c r="E76" s="20">
        <f t="shared" si="36"/>
        <v>145</v>
      </c>
      <c r="F76" s="20">
        <f t="shared" si="36"/>
        <v>145</v>
      </c>
      <c r="G76" s="20">
        <f t="shared" si="36"/>
        <v>145</v>
      </c>
      <c r="H76" s="20">
        <f t="shared" si="36"/>
        <v>145</v>
      </c>
      <c r="I76" s="20">
        <f t="shared" si="36"/>
        <v>145</v>
      </c>
      <c r="J76" s="20">
        <f t="shared" si="36"/>
        <v>145</v>
      </c>
      <c r="K76" s="20">
        <f t="shared" si="36"/>
        <v>145</v>
      </c>
      <c r="L76" s="20">
        <f t="shared" si="36"/>
        <v>145</v>
      </c>
      <c r="M76" s="20">
        <f t="shared" si="36"/>
        <v>145</v>
      </c>
      <c r="N76" s="20">
        <f t="shared" si="35"/>
        <v>1740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4.25" customHeight="1">
      <c r="A77" s="33" t="s">
        <v>70</v>
      </c>
      <c r="B77" s="26">
        <f t="shared" ref="B77:M77" si="37">SUM(B72:B76)</f>
        <v>378</v>
      </c>
      <c r="C77" s="26">
        <f t="shared" si="37"/>
        <v>378</v>
      </c>
      <c r="D77" s="26">
        <f t="shared" si="37"/>
        <v>378</v>
      </c>
      <c r="E77" s="26">
        <f t="shared" si="37"/>
        <v>378</v>
      </c>
      <c r="F77" s="26">
        <f t="shared" si="37"/>
        <v>378</v>
      </c>
      <c r="G77" s="26">
        <f t="shared" si="37"/>
        <v>378</v>
      </c>
      <c r="H77" s="26">
        <f t="shared" si="37"/>
        <v>378</v>
      </c>
      <c r="I77" s="26">
        <f t="shared" si="37"/>
        <v>378</v>
      </c>
      <c r="J77" s="26">
        <f t="shared" si="37"/>
        <v>378</v>
      </c>
      <c r="K77" s="26">
        <f t="shared" si="37"/>
        <v>378</v>
      </c>
      <c r="L77" s="26">
        <f t="shared" si="37"/>
        <v>378</v>
      </c>
      <c r="M77" s="26">
        <f t="shared" si="37"/>
        <v>378</v>
      </c>
      <c r="N77" s="26">
        <f t="shared" si="35"/>
        <v>4536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4.25" customHeight="1">
      <c r="A78" s="27" t="s">
        <v>71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4.25" customHeight="1">
      <c r="A79" s="39" t="s">
        <v>72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20">
        <f t="shared" ref="N79:N86" si="38">(((((((((((B79)+(C79))+(D79))+(E79))+(F79))+(G79))+(H79))+(I79))+(J79))+(K79))+(L79))+(M79)</f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4.25" customHeight="1">
      <c r="A80" s="39" t="s">
        <v>73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20">
        <f t="shared" si="38"/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4.25" customHeight="1">
      <c r="A81" s="39" t="s">
        <v>74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20">
        <f t="shared" si="38"/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4.25" customHeight="1">
      <c r="A82" s="39" t="s">
        <v>75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20">
        <f t="shared" si="38"/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4.25" customHeight="1">
      <c r="A83" s="39" t="s">
        <v>76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0">
        <f t="shared" si="38"/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4.25" customHeight="1">
      <c r="A84" s="39" t="s">
        <v>77</v>
      </c>
      <c r="B84" s="31">
        <v>600.0</v>
      </c>
      <c r="C84" s="20">
        <f t="shared" ref="C84:M84" si="39">B84</f>
        <v>600</v>
      </c>
      <c r="D84" s="20">
        <f t="shared" si="39"/>
        <v>600</v>
      </c>
      <c r="E84" s="20">
        <f t="shared" si="39"/>
        <v>600</v>
      </c>
      <c r="F84" s="20">
        <f t="shared" si="39"/>
        <v>600</v>
      </c>
      <c r="G84" s="20">
        <f t="shared" si="39"/>
        <v>600</v>
      </c>
      <c r="H84" s="20">
        <f t="shared" si="39"/>
        <v>600</v>
      </c>
      <c r="I84" s="20">
        <f t="shared" si="39"/>
        <v>600</v>
      </c>
      <c r="J84" s="20">
        <f t="shared" si="39"/>
        <v>600</v>
      </c>
      <c r="K84" s="20">
        <f t="shared" si="39"/>
        <v>600</v>
      </c>
      <c r="L84" s="20">
        <f t="shared" si="39"/>
        <v>600</v>
      </c>
      <c r="M84" s="20">
        <f t="shared" si="39"/>
        <v>600</v>
      </c>
      <c r="N84" s="20">
        <f t="shared" si="38"/>
        <v>7200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4.25" customHeight="1">
      <c r="A85" s="39" t="s">
        <v>78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0">
        <f t="shared" si="38"/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4.25" customHeight="1">
      <c r="A86" s="33" t="s">
        <v>79</v>
      </c>
      <c r="B86" s="26">
        <f t="shared" ref="B86:M86" si="40">SUM(B79:B85)</f>
        <v>600</v>
      </c>
      <c r="C86" s="26">
        <f t="shared" si="40"/>
        <v>600</v>
      </c>
      <c r="D86" s="26">
        <f t="shared" si="40"/>
        <v>600</v>
      </c>
      <c r="E86" s="26">
        <f t="shared" si="40"/>
        <v>600</v>
      </c>
      <c r="F86" s="26">
        <f t="shared" si="40"/>
        <v>600</v>
      </c>
      <c r="G86" s="26">
        <f t="shared" si="40"/>
        <v>600</v>
      </c>
      <c r="H86" s="26">
        <f t="shared" si="40"/>
        <v>600</v>
      </c>
      <c r="I86" s="26">
        <f t="shared" si="40"/>
        <v>600</v>
      </c>
      <c r="J86" s="26">
        <f t="shared" si="40"/>
        <v>600</v>
      </c>
      <c r="K86" s="26">
        <f t="shared" si="40"/>
        <v>600</v>
      </c>
      <c r="L86" s="26">
        <f t="shared" si="40"/>
        <v>600</v>
      </c>
      <c r="M86" s="26">
        <f t="shared" si="40"/>
        <v>600</v>
      </c>
      <c r="N86" s="26">
        <f t="shared" si="38"/>
        <v>7200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4.25" customHeight="1">
      <c r="A87" s="33" t="s">
        <v>80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4.25" customHeight="1">
      <c r="A88" s="39" t="s">
        <v>81</v>
      </c>
      <c r="B88" s="31">
        <v>1300.97</v>
      </c>
      <c r="C88" s="31">
        <v>1300.97</v>
      </c>
      <c r="D88" s="31">
        <v>1300.97</v>
      </c>
      <c r="E88" s="31">
        <v>1300.97</v>
      </c>
      <c r="F88" s="31">
        <v>1300.97</v>
      </c>
      <c r="G88" s="31">
        <v>1300.97</v>
      </c>
      <c r="H88" s="31">
        <v>1300.97</v>
      </c>
      <c r="I88" s="31">
        <v>1300.97</v>
      </c>
      <c r="J88" s="31">
        <v>1300.97</v>
      </c>
      <c r="K88" s="31">
        <v>1300.97</v>
      </c>
      <c r="L88" s="31">
        <v>1300.97</v>
      </c>
      <c r="M88" s="31">
        <v>1300.97</v>
      </c>
      <c r="N88" s="20">
        <f t="shared" ref="N88:N90" si="42">(((((((((((B88)+(C88))+(D88))+(E88))+(F88))+(G88))+(H88))+(I88))+(J88))+(K88))+(L88))+(M88)</f>
        <v>15611.64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4.25" customHeight="1">
      <c r="A89" s="39" t="s">
        <v>82</v>
      </c>
      <c r="B89" s="20">
        <f t="shared" ref="B89:M89" si="41">3728.73/2</f>
        <v>1864.365</v>
      </c>
      <c r="C89" s="20">
        <f t="shared" si="41"/>
        <v>1864.365</v>
      </c>
      <c r="D89" s="20">
        <f t="shared" si="41"/>
        <v>1864.365</v>
      </c>
      <c r="E89" s="20">
        <f t="shared" si="41"/>
        <v>1864.365</v>
      </c>
      <c r="F89" s="20">
        <f t="shared" si="41"/>
        <v>1864.365</v>
      </c>
      <c r="G89" s="20">
        <f t="shared" si="41"/>
        <v>1864.365</v>
      </c>
      <c r="H89" s="20">
        <f t="shared" si="41"/>
        <v>1864.365</v>
      </c>
      <c r="I89" s="20">
        <f t="shared" si="41"/>
        <v>1864.365</v>
      </c>
      <c r="J89" s="20">
        <f t="shared" si="41"/>
        <v>1864.365</v>
      </c>
      <c r="K89" s="20">
        <f t="shared" si="41"/>
        <v>1864.365</v>
      </c>
      <c r="L89" s="20">
        <f t="shared" si="41"/>
        <v>1864.365</v>
      </c>
      <c r="M89" s="20">
        <f t="shared" si="41"/>
        <v>1864.365</v>
      </c>
      <c r="N89" s="20">
        <f t="shared" si="42"/>
        <v>22372.38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4.25" customHeight="1">
      <c r="A90" s="33" t="s">
        <v>83</v>
      </c>
      <c r="B90" s="26">
        <f t="shared" ref="B90:M90" si="43">SUM(B88:B89)</f>
        <v>3165.335</v>
      </c>
      <c r="C90" s="26">
        <f t="shared" si="43"/>
        <v>3165.335</v>
      </c>
      <c r="D90" s="26">
        <f t="shared" si="43"/>
        <v>3165.335</v>
      </c>
      <c r="E90" s="26">
        <f t="shared" si="43"/>
        <v>3165.335</v>
      </c>
      <c r="F90" s="26">
        <f t="shared" si="43"/>
        <v>3165.335</v>
      </c>
      <c r="G90" s="26">
        <f t="shared" si="43"/>
        <v>3165.335</v>
      </c>
      <c r="H90" s="26">
        <f t="shared" si="43"/>
        <v>3165.335</v>
      </c>
      <c r="I90" s="26">
        <f t="shared" si="43"/>
        <v>3165.335</v>
      </c>
      <c r="J90" s="26">
        <f t="shared" si="43"/>
        <v>3165.335</v>
      </c>
      <c r="K90" s="26">
        <f t="shared" si="43"/>
        <v>3165.335</v>
      </c>
      <c r="L90" s="26">
        <f t="shared" si="43"/>
        <v>3165.335</v>
      </c>
      <c r="M90" s="26">
        <f t="shared" si="43"/>
        <v>3165.335</v>
      </c>
      <c r="N90" s="26">
        <f t="shared" si="42"/>
        <v>37984.02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4.25" customHeight="1">
      <c r="A91" s="33" t="s">
        <v>84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4.25" customHeight="1">
      <c r="A92" s="39" t="s">
        <v>85</v>
      </c>
      <c r="B92" s="20">
        <v>40.0</v>
      </c>
      <c r="C92" s="20">
        <v>40.0</v>
      </c>
      <c r="D92" s="20">
        <v>40.0</v>
      </c>
      <c r="E92" s="20">
        <v>40.0</v>
      </c>
      <c r="F92" s="20">
        <v>40.0</v>
      </c>
      <c r="G92" s="20">
        <v>40.0</v>
      </c>
      <c r="H92" s="20">
        <v>40.0</v>
      </c>
      <c r="I92" s="20">
        <v>40.0</v>
      </c>
      <c r="J92" s="20">
        <v>40.0</v>
      </c>
      <c r="K92" s="20">
        <v>40.0</v>
      </c>
      <c r="L92" s="20">
        <v>40.0</v>
      </c>
      <c r="M92" s="20">
        <v>40.0</v>
      </c>
      <c r="N92" s="20">
        <f t="shared" ref="N92:N101" si="44">(((((((((((B92)+(C92))+(D92))+(E92))+(F92))+(G92))+(H92))+(I92))+(J92))+(K92))+(L92))+(M92)</f>
        <v>480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4.25" customHeight="1">
      <c r="A93" s="39" t="s">
        <v>86</v>
      </c>
      <c r="B93" s="31">
        <v>100.0</v>
      </c>
      <c r="C93" s="31">
        <v>100.0</v>
      </c>
      <c r="D93" s="31">
        <v>100.0</v>
      </c>
      <c r="E93" s="31">
        <v>100.0</v>
      </c>
      <c r="F93" s="31">
        <v>100.0</v>
      </c>
      <c r="G93" s="31">
        <v>100.0</v>
      </c>
      <c r="H93" s="31">
        <v>100.0</v>
      </c>
      <c r="I93" s="31">
        <v>100.0</v>
      </c>
      <c r="J93" s="31">
        <v>100.0</v>
      </c>
      <c r="K93" s="31">
        <v>100.0</v>
      </c>
      <c r="L93" s="31">
        <v>100.0</v>
      </c>
      <c r="M93" s="31">
        <v>100.0</v>
      </c>
      <c r="N93" s="20">
        <f t="shared" si="44"/>
        <v>1200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4.25" customHeight="1">
      <c r="A94" s="39" t="s">
        <v>87</v>
      </c>
      <c r="B94" s="31">
        <v>230.0</v>
      </c>
      <c r="C94" s="31">
        <v>230.0</v>
      </c>
      <c r="D94" s="31">
        <v>230.0</v>
      </c>
      <c r="E94" s="31">
        <v>230.0</v>
      </c>
      <c r="F94" s="31">
        <v>230.0</v>
      </c>
      <c r="G94" s="31">
        <v>230.0</v>
      </c>
      <c r="H94" s="31">
        <v>230.0</v>
      </c>
      <c r="I94" s="31">
        <v>230.0</v>
      </c>
      <c r="J94" s="31">
        <v>230.0</v>
      </c>
      <c r="K94" s="31">
        <v>230.0</v>
      </c>
      <c r="L94" s="31">
        <v>230.0</v>
      </c>
      <c r="M94" s="31">
        <v>230.0</v>
      </c>
      <c r="N94" s="20">
        <f t="shared" si="44"/>
        <v>2760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4.25" customHeight="1">
      <c r="A95" s="39" t="s">
        <v>88</v>
      </c>
      <c r="B95" s="31">
        <v>200.0</v>
      </c>
      <c r="C95" s="31">
        <v>200.0</v>
      </c>
      <c r="D95" s="31">
        <v>200.0</v>
      </c>
      <c r="E95" s="31">
        <v>200.0</v>
      </c>
      <c r="F95" s="31">
        <v>200.0</v>
      </c>
      <c r="G95" s="31">
        <v>200.0</v>
      </c>
      <c r="H95" s="31">
        <v>200.0</v>
      </c>
      <c r="I95" s="31">
        <v>200.0</v>
      </c>
      <c r="J95" s="31">
        <v>200.0</v>
      </c>
      <c r="K95" s="31">
        <v>200.0</v>
      </c>
      <c r="L95" s="31">
        <v>200.0</v>
      </c>
      <c r="M95" s="31">
        <v>200.0</v>
      </c>
      <c r="N95" s="20">
        <f t="shared" si="44"/>
        <v>2400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4.25" customHeight="1">
      <c r="A96" s="39" t="s">
        <v>89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>
        <f t="shared" si="44"/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4.25" customHeight="1">
      <c r="A97" s="39" t="s">
        <v>90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20">
        <f t="shared" si="44"/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4.25" customHeight="1">
      <c r="A98" s="40" t="s">
        <v>91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0">
        <f t="shared" si="44"/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4.25" customHeight="1">
      <c r="A99" s="33" t="s">
        <v>92</v>
      </c>
      <c r="B99" s="26">
        <f t="shared" ref="B99:M99" si="45">SUM(B92:B98)</f>
        <v>570</v>
      </c>
      <c r="C99" s="26">
        <f t="shared" si="45"/>
        <v>570</v>
      </c>
      <c r="D99" s="26">
        <f t="shared" si="45"/>
        <v>570</v>
      </c>
      <c r="E99" s="26">
        <f t="shared" si="45"/>
        <v>570</v>
      </c>
      <c r="F99" s="26">
        <f t="shared" si="45"/>
        <v>570</v>
      </c>
      <c r="G99" s="26">
        <f t="shared" si="45"/>
        <v>570</v>
      </c>
      <c r="H99" s="26">
        <f t="shared" si="45"/>
        <v>570</v>
      </c>
      <c r="I99" s="26">
        <f t="shared" si="45"/>
        <v>570</v>
      </c>
      <c r="J99" s="26">
        <f t="shared" si="45"/>
        <v>570</v>
      </c>
      <c r="K99" s="26">
        <f t="shared" si="45"/>
        <v>570</v>
      </c>
      <c r="L99" s="26">
        <f t="shared" si="45"/>
        <v>570</v>
      </c>
      <c r="M99" s="26">
        <f t="shared" si="45"/>
        <v>570</v>
      </c>
      <c r="N99" s="26">
        <f t="shared" si="44"/>
        <v>6840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4.25" customHeight="1">
      <c r="A100" s="33" t="s">
        <v>93</v>
      </c>
      <c r="B100" s="26">
        <f t="shared" ref="B100:M100" si="46">B40+B47+B55+B66+B70+B77+B86+B90+B99</f>
        <v>7679.377912</v>
      </c>
      <c r="C100" s="26">
        <f t="shared" si="46"/>
        <v>7694.238606</v>
      </c>
      <c r="D100" s="26">
        <f t="shared" si="46"/>
        <v>7803.204452</v>
      </c>
      <c r="E100" s="26">
        <f t="shared" si="46"/>
        <v>7711.542688</v>
      </c>
      <c r="F100" s="26">
        <f t="shared" si="46"/>
        <v>7752.440923</v>
      </c>
      <c r="G100" s="26">
        <f t="shared" si="46"/>
        <v>7787.239881</v>
      </c>
      <c r="H100" s="26">
        <f t="shared" si="46"/>
        <v>8219.602911</v>
      </c>
      <c r="I100" s="26">
        <f t="shared" si="46"/>
        <v>7924.70053</v>
      </c>
      <c r="J100" s="26">
        <f t="shared" si="46"/>
        <v>7827.975804</v>
      </c>
      <c r="K100" s="26">
        <f t="shared" si="46"/>
        <v>7812.626408</v>
      </c>
      <c r="L100" s="26">
        <f t="shared" si="46"/>
        <v>7898.351471</v>
      </c>
      <c r="M100" s="26">
        <f t="shared" si="46"/>
        <v>7801.804143</v>
      </c>
      <c r="N100" s="26">
        <f t="shared" si="44"/>
        <v>93913.10573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4.25" customHeight="1">
      <c r="A101" s="33" t="s">
        <v>114</v>
      </c>
      <c r="B101" s="43">
        <f t="shared" ref="B101:M101" si="47">B31-B100</f>
        <v>10321.11533</v>
      </c>
      <c r="C101" s="43">
        <f t="shared" si="47"/>
        <v>10477.06721</v>
      </c>
      <c r="D101" s="43">
        <f t="shared" si="47"/>
        <v>10471.15706</v>
      </c>
      <c r="E101" s="43">
        <f t="shared" si="47"/>
        <v>10658.66062</v>
      </c>
      <c r="F101" s="43">
        <f t="shared" si="47"/>
        <v>11087.85704</v>
      </c>
      <c r="G101" s="43">
        <f t="shared" si="47"/>
        <v>11453.0461</v>
      </c>
      <c r="H101" s="43">
        <f t="shared" si="47"/>
        <v>11392.67193</v>
      </c>
      <c r="I101" s="43">
        <f t="shared" si="47"/>
        <v>12033.52395</v>
      </c>
      <c r="J101" s="43">
        <f t="shared" si="47"/>
        <v>11880.53918</v>
      </c>
      <c r="K101" s="43">
        <f t="shared" si="47"/>
        <v>11719.45875</v>
      </c>
      <c r="L101" s="43">
        <f t="shared" si="47"/>
        <v>11469.65394</v>
      </c>
      <c r="M101" s="43">
        <f t="shared" si="47"/>
        <v>11605.88716</v>
      </c>
      <c r="N101" s="43">
        <f t="shared" si="44"/>
        <v>134570.6383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4.25" customHeight="1">
      <c r="A102" s="34"/>
      <c r="B102" s="34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4.25" customHeight="1">
      <c r="A103" s="45" t="s">
        <v>95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4.25" customHeight="1">
      <c r="A104" s="40" t="s">
        <v>96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>
        <f t="shared" ref="N104:N109" si="48">(((((((((((B104)+(C104))+(D104))+(E104))+(F104))+(G104))+(H104))+(I104))+(J104))+(K104))+(L104))+(M104)</f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4.25" customHeight="1">
      <c r="A105" s="40" t="s">
        <v>97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20">
        <f t="shared" si="48"/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4.25" customHeight="1">
      <c r="A106" s="40" t="s">
        <v>98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20">
        <f t="shared" si="48"/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4.25" customHeight="1">
      <c r="A107" s="40" t="s">
        <v>99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20">
        <f t="shared" si="48"/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4.25" customHeight="1">
      <c r="A108" s="40" t="s">
        <v>100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>
        <f t="shared" si="48"/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4.25" customHeight="1">
      <c r="A109" s="45" t="s">
        <v>101</v>
      </c>
      <c r="B109" s="26">
        <f t="shared" ref="B109:M109" si="49">SUM(B104:B108)</f>
        <v>0</v>
      </c>
      <c r="C109" s="26">
        <f t="shared" si="49"/>
        <v>0</v>
      </c>
      <c r="D109" s="26">
        <f t="shared" si="49"/>
        <v>0</v>
      </c>
      <c r="E109" s="26">
        <f t="shared" si="49"/>
        <v>0</v>
      </c>
      <c r="F109" s="26">
        <f t="shared" si="49"/>
        <v>0</v>
      </c>
      <c r="G109" s="26">
        <f t="shared" si="49"/>
        <v>0</v>
      </c>
      <c r="H109" s="26">
        <f t="shared" si="49"/>
        <v>0</v>
      </c>
      <c r="I109" s="26">
        <f t="shared" si="49"/>
        <v>0</v>
      </c>
      <c r="J109" s="26">
        <f t="shared" si="49"/>
        <v>0</v>
      </c>
      <c r="K109" s="26">
        <f t="shared" si="49"/>
        <v>0</v>
      </c>
      <c r="L109" s="26">
        <f t="shared" si="49"/>
        <v>0</v>
      </c>
      <c r="M109" s="26">
        <f t="shared" si="49"/>
        <v>0</v>
      </c>
      <c r="N109" s="26">
        <f t="shared" si="48"/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4.25" customHeight="1">
      <c r="A110" s="45" t="s">
        <v>102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4.25" customHeight="1">
      <c r="A111" s="40" t="s">
        <v>103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>
        <f t="shared" ref="N111:N113" si="50">(((((((((((B111)+(C111))+(D111))+(E111))+(F111))+(G111))+(H111))+(I111))+(J111))+(K111))+(L111))+(M111)</f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4.25" customHeight="1">
      <c r="A112" s="40" t="s">
        <v>104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20">
        <f t="shared" si="50"/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4.25" customHeight="1">
      <c r="A113" s="45" t="s">
        <v>105</v>
      </c>
      <c r="B113" s="26">
        <f t="shared" ref="B113:M113" si="51">SUM(B111:B112)</f>
        <v>0</v>
      </c>
      <c r="C113" s="26">
        <f t="shared" si="51"/>
        <v>0</v>
      </c>
      <c r="D113" s="26">
        <f t="shared" si="51"/>
        <v>0</v>
      </c>
      <c r="E113" s="26">
        <f t="shared" si="51"/>
        <v>0</v>
      </c>
      <c r="F113" s="26">
        <f t="shared" si="51"/>
        <v>0</v>
      </c>
      <c r="G113" s="26">
        <f t="shared" si="51"/>
        <v>0</v>
      </c>
      <c r="H113" s="26">
        <f t="shared" si="51"/>
        <v>0</v>
      </c>
      <c r="I113" s="26">
        <f t="shared" si="51"/>
        <v>0</v>
      </c>
      <c r="J113" s="26">
        <f t="shared" si="51"/>
        <v>0</v>
      </c>
      <c r="K113" s="26">
        <f t="shared" si="51"/>
        <v>0</v>
      </c>
      <c r="L113" s="26">
        <f t="shared" si="51"/>
        <v>0</v>
      </c>
      <c r="M113" s="26">
        <f t="shared" si="51"/>
        <v>0</v>
      </c>
      <c r="N113" s="26">
        <f t="shared" si="50"/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4.25" customHeight="1">
      <c r="A114" s="45" t="s">
        <v>106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4.25" customHeight="1">
      <c r="A115" s="40" t="s">
        <v>107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>
        <f t="shared" ref="N115:N120" si="52">(((((((((((B115)+(C115))+(D115))+(E115))+(F115))+(G115))+(H115))+(I115))+(J115))+(K115))+(L115))+(M115)</f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4.25" customHeight="1">
      <c r="A116" s="40" t="s">
        <v>108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20">
        <f t="shared" si="52"/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4.25" customHeight="1">
      <c r="A117" s="40" t="s">
        <v>109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20">
        <f t="shared" si="52"/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4.25" customHeight="1">
      <c r="A118" s="45" t="s">
        <v>110</v>
      </c>
      <c r="B118" s="26">
        <f t="shared" ref="B118:M118" si="53">SUM(B115:B117)</f>
        <v>0</v>
      </c>
      <c r="C118" s="26">
        <f t="shared" si="53"/>
        <v>0</v>
      </c>
      <c r="D118" s="26">
        <f t="shared" si="53"/>
        <v>0</v>
      </c>
      <c r="E118" s="26">
        <f t="shared" si="53"/>
        <v>0</v>
      </c>
      <c r="F118" s="26">
        <f t="shared" si="53"/>
        <v>0</v>
      </c>
      <c r="G118" s="26">
        <f t="shared" si="53"/>
        <v>0</v>
      </c>
      <c r="H118" s="26">
        <f t="shared" si="53"/>
        <v>0</v>
      </c>
      <c r="I118" s="26">
        <f t="shared" si="53"/>
        <v>0</v>
      </c>
      <c r="J118" s="26">
        <f t="shared" si="53"/>
        <v>0</v>
      </c>
      <c r="K118" s="26">
        <f t="shared" si="53"/>
        <v>0</v>
      </c>
      <c r="L118" s="26">
        <f t="shared" si="53"/>
        <v>0</v>
      </c>
      <c r="M118" s="26">
        <f t="shared" si="53"/>
        <v>0</v>
      </c>
      <c r="N118" s="26">
        <f t="shared" si="52"/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4.25" customHeight="1">
      <c r="A119" s="45" t="s">
        <v>111</v>
      </c>
      <c r="B119" s="26">
        <f t="shared" ref="B119:M119" si="54">B109+B113+B118</f>
        <v>0</v>
      </c>
      <c r="C119" s="26">
        <f t="shared" si="54"/>
        <v>0</v>
      </c>
      <c r="D119" s="26">
        <f t="shared" si="54"/>
        <v>0</v>
      </c>
      <c r="E119" s="26">
        <f t="shared" si="54"/>
        <v>0</v>
      </c>
      <c r="F119" s="26">
        <f t="shared" si="54"/>
        <v>0</v>
      </c>
      <c r="G119" s="26">
        <f t="shared" si="54"/>
        <v>0</v>
      </c>
      <c r="H119" s="26">
        <f t="shared" si="54"/>
        <v>0</v>
      </c>
      <c r="I119" s="26">
        <f t="shared" si="54"/>
        <v>0</v>
      </c>
      <c r="J119" s="26">
        <f t="shared" si="54"/>
        <v>0</v>
      </c>
      <c r="K119" s="26">
        <f t="shared" si="54"/>
        <v>0</v>
      </c>
      <c r="L119" s="26">
        <f t="shared" si="54"/>
        <v>0</v>
      </c>
      <c r="M119" s="26">
        <f t="shared" si="54"/>
        <v>0</v>
      </c>
      <c r="N119" s="26">
        <f t="shared" si="52"/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4.25" customHeight="1">
      <c r="A120" s="45" t="s">
        <v>112</v>
      </c>
      <c r="B120" s="43">
        <f t="shared" ref="B120:M120" si="55">B101-B119</f>
        <v>10321.11533</v>
      </c>
      <c r="C120" s="43">
        <f t="shared" si="55"/>
        <v>10477.06721</v>
      </c>
      <c r="D120" s="43">
        <f t="shared" si="55"/>
        <v>10471.15706</v>
      </c>
      <c r="E120" s="43">
        <f t="shared" si="55"/>
        <v>10658.66062</v>
      </c>
      <c r="F120" s="43">
        <f t="shared" si="55"/>
        <v>11087.85704</v>
      </c>
      <c r="G120" s="43">
        <f t="shared" si="55"/>
        <v>11453.0461</v>
      </c>
      <c r="H120" s="43">
        <f t="shared" si="55"/>
        <v>11392.67193</v>
      </c>
      <c r="I120" s="43">
        <f t="shared" si="55"/>
        <v>12033.52395</v>
      </c>
      <c r="J120" s="43">
        <f t="shared" si="55"/>
        <v>11880.53918</v>
      </c>
      <c r="K120" s="43">
        <f t="shared" si="55"/>
        <v>11719.45875</v>
      </c>
      <c r="L120" s="43">
        <f t="shared" si="55"/>
        <v>11469.65394</v>
      </c>
      <c r="M120" s="43">
        <f t="shared" si="55"/>
        <v>11605.88716</v>
      </c>
      <c r="N120" s="43">
        <f t="shared" si="52"/>
        <v>134570.6383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4.25" customHeight="1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4.25" customHeight="1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4.25" customHeight="1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</row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B1:M1"/>
    <mergeCell ref="B2:M2"/>
    <mergeCell ref="B3:M3"/>
    <mergeCell ref="A11:C11"/>
    <mergeCell ref="A33:C33"/>
  </mergeCells>
  <printOptions horizontalCentered="1"/>
  <pageMargins bottom="0.75" footer="0.0" header="0.0" left="0.7" right="0.7" top="0.75"/>
  <pageSetup orientation="landscape"/>
  <rowBreaks count="1" manualBreakCount="1">
    <brk id="46" man="1"/>
  </rowBreaks>
  <drawing r:id="rId1"/>
</worksheet>
</file>